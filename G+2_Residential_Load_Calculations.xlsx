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d87e2718524279/Desktop/Internship/"/>
    </mc:Choice>
  </mc:AlternateContent>
  <xr:revisionPtr revIDLastSave="18" documentId="13_ncr:1_{91AE222A-F4A8-4B26-A193-E89FF43E9A2E}" xr6:coauthVersionLast="47" xr6:coauthVersionMax="47" xr10:uidLastSave="{A9C948F7-5C88-4CE7-AEC3-EA00216A4ABF}"/>
  <bookViews>
    <workbookView xWindow="-108" yWindow="-108" windowWidth="23256" windowHeight="12456" xr2:uid="{00000000-000D-0000-FFFF-FFFF00000000}"/>
  </bookViews>
  <sheets>
    <sheet name="Load Calcu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9" i="1" l="1"/>
  <c r="C67" i="1"/>
  <c r="C68" i="1"/>
  <c r="C62" i="1"/>
  <c r="C46" i="1"/>
  <c r="C48" i="1" s="1"/>
  <c r="C37" i="1"/>
  <c r="C38" i="1" s="1"/>
  <c r="C32" i="1"/>
  <c r="C15" i="1"/>
  <c r="C17" i="1" s="1"/>
  <c r="C22" i="1" s="1"/>
  <c r="C24" i="1" s="1"/>
  <c r="C25" i="1" s="1"/>
  <c r="C9" i="1"/>
  <c r="C39" i="1" l="1"/>
  <c r="C40" i="1" s="1"/>
  <c r="C52" i="1" l="1"/>
  <c r="C51" i="1"/>
  <c r="C55" i="1"/>
  <c r="C70" i="1" s="1"/>
  <c r="C50" i="1"/>
  <c r="C56" i="1"/>
  <c r="C54" i="1"/>
</calcChain>
</file>

<file path=xl/sharedStrings.xml><?xml version="1.0" encoding="utf-8"?>
<sst xmlns="http://schemas.openxmlformats.org/spreadsheetml/2006/main" count="117" uniqueCount="61">
  <si>
    <t>LOAD CALCULATIONS FOR (G+2) RESIDENTIAL BUILDING</t>
  </si>
  <si>
    <t>Parapet wall load</t>
  </si>
  <si>
    <t>Thickness of wall</t>
  </si>
  <si>
    <t xml:space="preserve">U.W of Brick </t>
  </si>
  <si>
    <t>Height of parapet wall</t>
  </si>
  <si>
    <r>
      <t>kN/m</t>
    </r>
    <r>
      <rPr>
        <vertAlign val="superscript"/>
        <sz val="11"/>
        <color theme="1"/>
        <rFont val="Times New Roman"/>
        <family val="1"/>
      </rPr>
      <t>2</t>
    </r>
  </si>
  <si>
    <t>m</t>
  </si>
  <si>
    <t>Total Wall Load</t>
  </si>
  <si>
    <r>
      <t>kN/m</t>
    </r>
    <r>
      <rPr>
        <vertAlign val="superscript"/>
        <sz val="11"/>
        <color theme="1"/>
        <rFont val="Times New Roman"/>
        <family val="1"/>
      </rPr>
      <t>3</t>
    </r>
  </si>
  <si>
    <t>i)</t>
  </si>
  <si>
    <t>ii)</t>
  </si>
  <si>
    <t>Slab Load</t>
  </si>
  <si>
    <t>kN/m</t>
  </si>
  <si>
    <t>A)</t>
  </si>
  <si>
    <t>Dead Load</t>
  </si>
  <si>
    <t>Thickness of slab</t>
  </si>
  <si>
    <t>U.W of Concrete</t>
  </si>
  <si>
    <t>Self Weight of Slab</t>
  </si>
  <si>
    <t>Floor Finish load on slab</t>
  </si>
  <si>
    <t>Total Dead Load on Slab</t>
  </si>
  <si>
    <t>B)</t>
  </si>
  <si>
    <t>Live Load</t>
  </si>
  <si>
    <t>As per IS:875 - Part 2</t>
  </si>
  <si>
    <t>Live Load on slab</t>
  </si>
  <si>
    <t>(DL+LL)</t>
  </si>
  <si>
    <t>No.of. Storeys</t>
  </si>
  <si>
    <t>Total Factored Load on Slab</t>
  </si>
  <si>
    <t>Total Load on Slab</t>
  </si>
  <si>
    <t>iii)</t>
  </si>
  <si>
    <t>Beam load</t>
  </si>
  <si>
    <t>Size of Beam</t>
  </si>
  <si>
    <t>Self Weight of Beam</t>
  </si>
  <si>
    <t>Wall Load on Beam</t>
  </si>
  <si>
    <t xml:space="preserve">Floor to Floor Height </t>
  </si>
  <si>
    <t>Total Load on Beam</t>
  </si>
  <si>
    <t>iv)</t>
  </si>
  <si>
    <t>Column load</t>
  </si>
  <si>
    <t>Self Weight of Column</t>
  </si>
  <si>
    <t>Size of Column</t>
  </si>
  <si>
    <t>kN</t>
  </si>
  <si>
    <t>Total Factored Load on Beam</t>
  </si>
  <si>
    <t>Height(Floor to Floor)</t>
  </si>
  <si>
    <t>Height of wall</t>
  </si>
  <si>
    <t>Load on Column(C1)</t>
  </si>
  <si>
    <t>Span Distance</t>
  </si>
  <si>
    <t>Load on Column(C2)</t>
  </si>
  <si>
    <t>Load on Column(C3)</t>
  </si>
  <si>
    <t>Half load from(B1+B2)</t>
  </si>
  <si>
    <t>Half load from(B1+B2+B4)</t>
  </si>
  <si>
    <t>Half load from(B4+B7+B11+B12)</t>
  </si>
  <si>
    <t>Load on Beam (B1+B2)</t>
  </si>
  <si>
    <t>Load on Beam (B1+B2+B4)</t>
  </si>
  <si>
    <t>Load on Beam (B11+B12+B4+B7)</t>
  </si>
  <si>
    <t>Total Load on Column</t>
  </si>
  <si>
    <t>V)</t>
  </si>
  <si>
    <t>Plinth Beam load</t>
  </si>
  <si>
    <t>Self Weight of Plinth Beam</t>
  </si>
  <si>
    <t>Size of Plinth Beam</t>
  </si>
  <si>
    <t>Wall Load on Plinth Beam</t>
  </si>
  <si>
    <t>Total Load on Plinth Beam</t>
  </si>
  <si>
    <t>Total Factored Load on Plinth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</si>
</sst>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3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70C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2" fontId="4" fillId="0" borderId="0" xfId="0" applyNumberFormat="1" applyFont="1"/>
    <xf numFmtId="0" fontId="7" fillId="0" borderId="0" xfId="0" applyFont="1"/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3" fillId="3" borderId="0" xfId="0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3" fillId="2" borderId="0" xfId="1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4" fontId="3" fillId="2" borderId="0" xfId="1" applyNumberFormat="1" applyFont="1"/>
    <xf numFmtId="2" fontId="3" fillId="2" borderId="0" xfId="1" applyNumberFormat="1" applyFont="1" applyAlignment="1">
      <alignment horizontal="right"/>
    </xf>
    <xf numFmtId="164" fontId="3" fillId="3" borderId="0" xfId="0" applyNumberFormat="1" applyFont="1" applyFill="1" applyAlignment="1">
      <alignment horizontal="right" vertical="center"/>
    </xf>
  </cellXfs>
  <cellStyles count="2">
    <cellStyle name="20% - Accent3" xfId="1" builtinId="3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480060</xdr:colOff>
      <xdr:row>71</xdr:row>
      <xdr:rowOff>30482</xdr:rowOff>
    </xdr:from>
    <xdr:to>
      <xdr:col>2</xdr:col>
      <xdr:colOff>348540</xdr:colOff>
      <xdr:row>83</xdr:row>
      <xdr:rowOff>20085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1C4B05-B6AF-4377-28CE-140F7B42F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13921742"/>
          <a:ext cx="2124000" cy="21841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view="pageBreakPreview" topLeftCell="A61" zoomScale="60" zoomScaleNormal="100" zoomScalePageLayoutView="85" workbookViewId="0">
      <selection activeCell="J15" sqref="J15"/>
    </sheetView>
  </sheetViews>
  <sheetFormatPr defaultRowHeight="14.4" x14ac:dyDescent="0.3"/>
  <cols>
    <col min="1" max="1" width="3.6640625" customWidth="1"/>
    <col min="2" max="2" width="32.88671875" customWidth="1"/>
    <col min="3" max="3" width="11.5546875" customWidth="1"/>
    <col min="4" max="4" width="7.21875" customWidth="1"/>
    <col min="5" max="5" width="6" customWidth="1"/>
  </cols>
  <sheetData>
    <row r="1" spans="1:4" ht="17.399999999999999" x14ac:dyDescent="0.3">
      <c r="B1" s="4" t="s">
        <v>0</v>
      </c>
      <c r="C1" s="1"/>
      <c r="D1" s="1"/>
    </row>
    <row r="2" spans="1:4" ht="17.399999999999999" x14ac:dyDescent="0.3">
      <c r="B2" s="4"/>
      <c r="C2" s="1"/>
      <c r="D2" s="1"/>
    </row>
    <row r="3" spans="1:4" ht="15.6" x14ac:dyDescent="0.3">
      <c r="B3" s="19" t="s">
        <v>44</v>
      </c>
      <c r="C3" s="1">
        <v>3</v>
      </c>
      <c r="D3" s="1" t="s">
        <v>6</v>
      </c>
    </row>
    <row r="4" spans="1:4" ht="15.6" x14ac:dyDescent="0.3">
      <c r="B4" s="19" t="s">
        <v>33</v>
      </c>
      <c r="C4" s="1">
        <v>3</v>
      </c>
      <c r="D4" s="1" t="s">
        <v>6</v>
      </c>
    </row>
    <row r="5" spans="1:4" ht="17.399999999999999" x14ac:dyDescent="0.3">
      <c r="A5" s="6" t="s">
        <v>9</v>
      </c>
      <c r="B5" s="7" t="s">
        <v>1</v>
      </c>
      <c r="C5" s="5"/>
      <c r="D5" s="5"/>
    </row>
    <row r="6" spans="1:4" x14ac:dyDescent="0.3">
      <c r="A6" s="11"/>
      <c r="B6" s="12" t="s">
        <v>2</v>
      </c>
      <c r="C6" s="13">
        <v>0.23</v>
      </c>
      <c r="D6" s="12" t="s">
        <v>6</v>
      </c>
    </row>
    <row r="7" spans="1:4" ht="16.8" x14ac:dyDescent="0.3">
      <c r="A7" s="11"/>
      <c r="B7" s="12" t="s">
        <v>3</v>
      </c>
      <c r="C7" s="13">
        <v>20</v>
      </c>
      <c r="D7" s="12" t="s">
        <v>8</v>
      </c>
    </row>
    <row r="8" spans="1:4" x14ac:dyDescent="0.3">
      <c r="A8" s="11"/>
      <c r="B8" s="12" t="s">
        <v>4</v>
      </c>
      <c r="C8" s="13">
        <v>1.2</v>
      </c>
      <c r="D8" s="12" t="s">
        <v>6</v>
      </c>
    </row>
    <row r="9" spans="1:4" x14ac:dyDescent="0.3">
      <c r="A9" s="11"/>
      <c r="B9" s="10" t="s">
        <v>7</v>
      </c>
      <c r="C9" s="9">
        <f>C6*C7*C8</f>
        <v>5.5200000000000005</v>
      </c>
      <c r="D9" s="12" t="s">
        <v>12</v>
      </c>
    </row>
    <row r="10" spans="1:4" x14ac:dyDescent="0.3">
      <c r="A10" s="11"/>
      <c r="B10" s="14"/>
      <c r="C10" s="14"/>
      <c r="D10" s="14"/>
    </row>
    <row r="11" spans="1:4" ht="17.399999999999999" x14ac:dyDescent="0.3">
      <c r="A11" s="6" t="s">
        <v>10</v>
      </c>
      <c r="B11" s="7" t="s">
        <v>11</v>
      </c>
      <c r="C11" s="11"/>
      <c r="D11" s="11"/>
    </row>
    <row r="12" spans="1:4" ht="15.6" x14ac:dyDescent="0.3">
      <c r="A12" s="15" t="s">
        <v>13</v>
      </c>
      <c r="B12" s="16" t="s">
        <v>14</v>
      </c>
      <c r="C12" s="11"/>
      <c r="D12" s="11"/>
    </row>
    <row r="13" spans="1:4" ht="16.8" x14ac:dyDescent="0.3">
      <c r="A13" s="11"/>
      <c r="B13" s="12" t="s">
        <v>16</v>
      </c>
      <c r="C13" s="13">
        <v>25</v>
      </c>
      <c r="D13" s="12" t="s">
        <v>8</v>
      </c>
    </row>
    <row r="14" spans="1:4" x14ac:dyDescent="0.3">
      <c r="A14" s="11"/>
      <c r="B14" s="12" t="s">
        <v>15</v>
      </c>
      <c r="C14" s="13">
        <v>0.125</v>
      </c>
      <c r="D14" s="12" t="s">
        <v>6</v>
      </c>
    </row>
    <row r="15" spans="1:4" ht="16.8" x14ac:dyDescent="0.3">
      <c r="A15" s="11"/>
      <c r="B15" s="12" t="s">
        <v>17</v>
      </c>
      <c r="C15" s="9">
        <f>C13*C14</f>
        <v>3.125</v>
      </c>
      <c r="D15" s="12" t="s">
        <v>5</v>
      </c>
    </row>
    <row r="16" spans="1:4" ht="16.8" x14ac:dyDescent="0.3">
      <c r="A16" s="11"/>
      <c r="B16" s="12" t="s">
        <v>18</v>
      </c>
      <c r="C16" s="13">
        <v>1.5</v>
      </c>
      <c r="D16" s="12" t="s">
        <v>5</v>
      </c>
    </row>
    <row r="17" spans="1:5" ht="16.8" x14ac:dyDescent="0.3">
      <c r="A17" s="11"/>
      <c r="B17" s="10" t="s">
        <v>19</v>
      </c>
      <c r="C17" s="9">
        <f>C15+C16</f>
        <v>4.625</v>
      </c>
      <c r="D17" s="12" t="s">
        <v>5</v>
      </c>
    </row>
    <row r="19" spans="1:5" ht="15.6" x14ac:dyDescent="0.3">
      <c r="A19" s="15" t="s">
        <v>20</v>
      </c>
      <c r="B19" s="16" t="s">
        <v>21</v>
      </c>
    </row>
    <row r="20" spans="1:5" x14ac:dyDescent="0.3">
      <c r="B20" s="1" t="s">
        <v>22</v>
      </c>
    </row>
    <row r="21" spans="1:5" ht="16.8" x14ac:dyDescent="0.3">
      <c r="B21" s="1" t="s">
        <v>23</v>
      </c>
      <c r="C21" s="9">
        <v>2</v>
      </c>
      <c r="D21" s="12" t="s">
        <v>5</v>
      </c>
    </row>
    <row r="22" spans="1:5" ht="16.8" x14ac:dyDescent="0.3">
      <c r="B22" s="2" t="s">
        <v>24</v>
      </c>
      <c r="C22" s="9">
        <f>C17+C21</f>
        <v>6.625</v>
      </c>
      <c r="D22" s="12" t="s">
        <v>5</v>
      </c>
    </row>
    <row r="23" spans="1:5" x14ac:dyDescent="0.3">
      <c r="B23" s="1" t="s">
        <v>25</v>
      </c>
      <c r="C23" s="1">
        <v>3</v>
      </c>
    </row>
    <row r="24" spans="1:5" ht="16.8" x14ac:dyDescent="0.3">
      <c r="B24" s="18" t="s">
        <v>27</v>
      </c>
      <c r="C24" s="1">
        <f>C22*C23</f>
        <v>19.875</v>
      </c>
      <c r="D24" s="12" t="s">
        <v>5</v>
      </c>
    </row>
    <row r="25" spans="1:5" ht="16.8" x14ac:dyDescent="0.3">
      <c r="B25" s="8" t="s">
        <v>26</v>
      </c>
      <c r="C25" s="17">
        <f>1.5*C24</f>
        <v>29.8125</v>
      </c>
      <c r="D25" s="12" t="s">
        <v>5</v>
      </c>
    </row>
    <row r="27" spans="1:5" ht="17.399999999999999" x14ac:dyDescent="0.3">
      <c r="A27" s="6" t="s">
        <v>28</v>
      </c>
      <c r="B27" s="7" t="s">
        <v>29</v>
      </c>
    </row>
    <row r="28" spans="1:5" ht="15.6" x14ac:dyDescent="0.3">
      <c r="A28" s="15" t="s">
        <v>13</v>
      </c>
      <c r="B28" s="16" t="s">
        <v>31</v>
      </c>
      <c r="C28" s="11"/>
      <c r="D28" s="11"/>
    </row>
    <row r="29" spans="1:5" x14ac:dyDescent="0.3">
      <c r="B29" s="12" t="s">
        <v>30</v>
      </c>
      <c r="C29" s="13">
        <v>0.23</v>
      </c>
      <c r="D29" s="13">
        <v>0.3</v>
      </c>
      <c r="E29" s="13" t="s">
        <v>6</v>
      </c>
    </row>
    <row r="30" spans="1:5" ht="16.8" x14ac:dyDescent="0.3">
      <c r="B30" s="12" t="s">
        <v>16</v>
      </c>
      <c r="C30" s="13">
        <v>25</v>
      </c>
      <c r="D30" s="12" t="s">
        <v>8</v>
      </c>
    </row>
    <row r="31" spans="1:5" x14ac:dyDescent="0.3">
      <c r="B31" s="1" t="s">
        <v>25</v>
      </c>
      <c r="C31" s="1">
        <v>3</v>
      </c>
      <c r="D31" s="12"/>
    </row>
    <row r="32" spans="1:5" x14ac:dyDescent="0.3">
      <c r="B32" s="12" t="s">
        <v>31</v>
      </c>
      <c r="C32" s="9">
        <f>C29*D29*C30*C31</f>
        <v>5.1750000000000007</v>
      </c>
      <c r="D32" s="12" t="s">
        <v>12</v>
      </c>
    </row>
    <row r="34" spans="1:5" ht="15.6" x14ac:dyDescent="0.3">
      <c r="A34" s="15" t="s">
        <v>20</v>
      </c>
      <c r="B34" s="16" t="s">
        <v>32</v>
      </c>
    </row>
    <row r="35" spans="1:5" x14ac:dyDescent="0.3">
      <c r="B35" s="12" t="s">
        <v>2</v>
      </c>
      <c r="C35" s="13">
        <v>0.23</v>
      </c>
      <c r="D35" s="12" t="s">
        <v>6</v>
      </c>
    </row>
    <row r="36" spans="1:5" ht="16.8" x14ac:dyDescent="0.3">
      <c r="B36" s="12" t="s">
        <v>3</v>
      </c>
      <c r="C36" s="13">
        <v>20</v>
      </c>
      <c r="D36" s="12" t="s">
        <v>8</v>
      </c>
    </row>
    <row r="37" spans="1:5" x14ac:dyDescent="0.3">
      <c r="B37" s="12" t="s">
        <v>42</v>
      </c>
      <c r="C37" s="13">
        <f>C4-D29</f>
        <v>2.7</v>
      </c>
      <c r="D37" s="12" t="s">
        <v>6</v>
      </c>
    </row>
    <row r="38" spans="1:5" x14ac:dyDescent="0.3">
      <c r="B38" s="12" t="s">
        <v>7</v>
      </c>
      <c r="C38" s="9">
        <f>C35*C36*C37</f>
        <v>12.420000000000002</v>
      </c>
      <c r="D38" s="12" t="s">
        <v>12</v>
      </c>
    </row>
    <row r="39" spans="1:5" ht="15.6" x14ac:dyDescent="0.3">
      <c r="B39" s="20" t="s">
        <v>34</v>
      </c>
      <c r="C39" s="3">
        <f>C38+C32+C25+C9</f>
        <v>52.927500000000002</v>
      </c>
      <c r="D39" s="12" t="s">
        <v>12</v>
      </c>
    </row>
    <row r="40" spans="1:5" ht="15.6" x14ac:dyDescent="0.3">
      <c r="B40" s="8" t="s">
        <v>40</v>
      </c>
      <c r="C40" s="21">
        <f>1.5*C39</f>
        <v>79.391249999999999</v>
      </c>
      <c r="D40" s="12" t="s">
        <v>12</v>
      </c>
    </row>
    <row r="42" spans="1:5" ht="17.399999999999999" x14ac:dyDescent="0.3">
      <c r="A42" s="6" t="s">
        <v>35</v>
      </c>
      <c r="B42" s="7" t="s">
        <v>36</v>
      </c>
    </row>
    <row r="43" spans="1:5" ht="15.6" x14ac:dyDescent="0.3">
      <c r="A43" s="15" t="s">
        <v>13</v>
      </c>
      <c r="B43" s="16" t="s">
        <v>37</v>
      </c>
      <c r="C43" s="11"/>
      <c r="D43" s="11"/>
    </row>
    <row r="44" spans="1:5" x14ac:dyDescent="0.3">
      <c r="B44" s="12" t="s">
        <v>38</v>
      </c>
      <c r="C44" s="13">
        <v>0.23</v>
      </c>
      <c r="D44" s="13">
        <v>0.3</v>
      </c>
      <c r="E44" s="13" t="s">
        <v>6</v>
      </c>
    </row>
    <row r="45" spans="1:5" ht="16.8" x14ac:dyDescent="0.3">
      <c r="B45" s="12" t="s">
        <v>16</v>
      </c>
      <c r="C45" s="13">
        <v>25</v>
      </c>
      <c r="D45" s="12" t="s">
        <v>8</v>
      </c>
    </row>
    <row r="46" spans="1:5" x14ac:dyDescent="0.3">
      <c r="B46" s="1" t="s">
        <v>41</v>
      </c>
      <c r="C46" s="1">
        <f>C4</f>
        <v>3</v>
      </c>
      <c r="D46" s="12" t="s">
        <v>6</v>
      </c>
    </row>
    <row r="47" spans="1:5" x14ac:dyDescent="0.3">
      <c r="B47" s="1" t="s">
        <v>25</v>
      </c>
      <c r="C47" s="1">
        <v>3</v>
      </c>
      <c r="D47" s="12"/>
    </row>
    <row r="48" spans="1:5" x14ac:dyDescent="0.3">
      <c r="B48" s="12" t="s">
        <v>37</v>
      </c>
      <c r="C48" s="9">
        <f>C44*D44*C45*C46*C47</f>
        <v>15.525000000000002</v>
      </c>
      <c r="D48" s="12" t="s">
        <v>39</v>
      </c>
    </row>
    <row r="50" spans="1:5" x14ac:dyDescent="0.3">
      <c r="B50" s="1" t="s">
        <v>50</v>
      </c>
      <c r="C50" s="23">
        <f>(C40*C3/2)*2</f>
        <v>238.17374999999998</v>
      </c>
      <c r="D50" s="1" t="s">
        <v>47</v>
      </c>
    </row>
    <row r="51" spans="1:5" x14ac:dyDescent="0.3">
      <c r="B51" s="1" t="s">
        <v>51</v>
      </c>
      <c r="C51" s="23">
        <f>(C40*C3/2)*3</f>
        <v>357.260625</v>
      </c>
      <c r="D51" s="1" t="s">
        <v>48</v>
      </c>
    </row>
    <row r="52" spans="1:5" x14ac:dyDescent="0.3">
      <c r="B52" s="1" t="s">
        <v>52</v>
      </c>
      <c r="C52" s="23">
        <f>(C40*C3/2)*4</f>
        <v>476.34749999999997</v>
      </c>
      <c r="D52" s="1" t="s">
        <v>49</v>
      </c>
    </row>
    <row r="53" spans="1:5" ht="15.6" x14ac:dyDescent="0.3">
      <c r="A53" s="15" t="s">
        <v>20</v>
      </c>
      <c r="B53" s="16" t="s">
        <v>53</v>
      </c>
    </row>
    <row r="54" spans="1:5" x14ac:dyDescent="0.3">
      <c r="B54" s="1" t="s">
        <v>43</v>
      </c>
      <c r="C54" s="22">
        <f>C48+(C40*C3/2)*2</f>
        <v>253.69874999999999</v>
      </c>
      <c r="D54" s="12" t="s">
        <v>39</v>
      </c>
    </row>
    <row r="55" spans="1:5" x14ac:dyDescent="0.3">
      <c r="B55" s="1" t="s">
        <v>45</v>
      </c>
      <c r="C55" s="22">
        <f>C48+(C40*C3/2)*3</f>
        <v>372.78562499999998</v>
      </c>
      <c r="D55" s="12" t="s">
        <v>39</v>
      </c>
    </row>
    <row r="56" spans="1:5" x14ac:dyDescent="0.3">
      <c r="B56" s="1" t="s">
        <v>46</v>
      </c>
      <c r="C56" s="22">
        <f>C48+(C40*C3/2)*4</f>
        <v>491.87249999999995</v>
      </c>
      <c r="D56" s="12" t="s">
        <v>39</v>
      </c>
    </row>
    <row r="58" spans="1:5" ht="17.399999999999999" x14ac:dyDescent="0.3">
      <c r="A58" s="6" t="s">
        <v>54</v>
      </c>
      <c r="B58" s="7" t="s">
        <v>55</v>
      </c>
    </row>
    <row r="59" spans="1:5" ht="15.6" x14ac:dyDescent="0.3">
      <c r="A59" s="15" t="s">
        <v>13</v>
      </c>
      <c r="B59" s="16" t="s">
        <v>56</v>
      </c>
      <c r="C59" s="11"/>
      <c r="D59" s="11"/>
    </row>
    <row r="60" spans="1:5" x14ac:dyDescent="0.3">
      <c r="B60" s="12" t="s">
        <v>57</v>
      </c>
      <c r="C60" s="13">
        <v>0.23</v>
      </c>
      <c r="D60" s="13">
        <v>0.3</v>
      </c>
      <c r="E60" s="13" t="s">
        <v>6</v>
      </c>
    </row>
    <row r="61" spans="1:5" ht="16.8" x14ac:dyDescent="0.3">
      <c r="B61" s="12" t="s">
        <v>16</v>
      </c>
      <c r="C61" s="13">
        <v>25</v>
      </c>
      <c r="D61" s="12" t="s">
        <v>8</v>
      </c>
    </row>
    <row r="62" spans="1:5" x14ac:dyDescent="0.3">
      <c r="B62" s="12" t="s">
        <v>31</v>
      </c>
      <c r="C62" s="9">
        <f>C60*D60*C61</f>
        <v>1.7250000000000001</v>
      </c>
      <c r="D62" s="12" t="s">
        <v>12</v>
      </c>
    </row>
    <row r="64" spans="1:5" ht="15.6" x14ac:dyDescent="0.3">
      <c r="A64" s="15" t="s">
        <v>20</v>
      </c>
      <c r="B64" s="16" t="s">
        <v>58</v>
      </c>
    </row>
    <row r="65" spans="2:4" x14ac:dyDescent="0.3">
      <c r="B65" s="12" t="s">
        <v>2</v>
      </c>
      <c r="C65" s="13">
        <v>0.23</v>
      </c>
      <c r="D65" s="12" t="s">
        <v>6</v>
      </c>
    </row>
    <row r="66" spans="2:4" ht="16.8" x14ac:dyDescent="0.3">
      <c r="B66" s="12" t="s">
        <v>3</v>
      </c>
      <c r="C66" s="13">
        <v>20</v>
      </c>
      <c r="D66" s="12" t="s">
        <v>8</v>
      </c>
    </row>
    <row r="67" spans="2:4" x14ac:dyDescent="0.3">
      <c r="B67" s="12" t="s">
        <v>42</v>
      </c>
      <c r="C67" s="13">
        <f>C4-D29</f>
        <v>2.7</v>
      </c>
      <c r="D67" s="12" t="s">
        <v>6</v>
      </c>
    </row>
    <row r="68" spans="2:4" x14ac:dyDescent="0.3">
      <c r="B68" s="12" t="s">
        <v>7</v>
      </c>
      <c r="C68" s="9">
        <f>C65*C66*C67</f>
        <v>12.420000000000002</v>
      </c>
      <c r="D68" s="12" t="s">
        <v>12</v>
      </c>
    </row>
    <row r="69" spans="2:4" ht="15.6" x14ac:dyDescent="0.3">
      <c r="B69" s="20" t="s">
        <v>59</v>
      </c>
      <c r="C69" s="3">
        <f>C68+C62</f>
        <v>14.145000000000001</v>
      </c>
      <c r="D69" s="12" t="s">
        <v>12</v>
      </c>
    </row>
    <row r="70" spans="2:4" ht="15.6" x14ac:dyDescent="0.3">
      <c r="B70" s="8" t="s">
        <v>60</v>
      </c>
      <c r="C70" s="21">
        <f>1.5*C69</f>
        <v>21.217500000000001</v>
      </c>
      <c r="D70" s="12" t="s">
        <v>12</v>
      </c>
    </row>
  </sheetData>
  <pageMargins left="0.7" right="0.7" top="0.75" bottom="0.75" header="0.3" footer="0.3"/>
  <pageSetup scale="105" orientation="portrait" r:id="rId1"/>
  <rowBreaks count="1" manualBreakCount="1"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SOPHIA RUBADHARSINI</cp:lastModifiedBy>
  <cp:lastPrinted>2025-08-13T17:16:10Z</cp:lastPrinted>
  <dcterms:created xsi:type="dcterms:W3CDTF">2025-06-29T14:01:10Z</dcterms:created>
  <dcterms:modified xsi:type="dcterms:W3CDTF">2025-08-13T17:16:15Z</dcterms:modified>
</cp:coreProperties>
</file>