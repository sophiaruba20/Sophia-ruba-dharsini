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IA RUBADHARSINI\Downloads\"/>
    </mc:Choice>
  </mc:AlternateContent>
  <xr:revisionPtr revIDLastSave="0" documentId="13_ncr:1_{65469FAC-3447-4814-B523-E0270F114406}" xr6:coauthVersionLast="47" xr6:coauthVersionMax="47" xr10:uidLastSave="{00000000-0000-0000-0000-000000000000}"/>
  <bookViews>
    <workbookView xWindow="-108" yWindow="-108" windowWidth="23256" windowHeight="12456" xr2:uid="{15E2A5CE-D236-4E40-BDA7-5194F8F20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1" i="1" l="1"/>
  <c r="C168" i="1"/>
  <c r="C166" i="1"/>
  <c r="C159" i="1"/>
  <c r="C162" i="1" s="1"/>
  <c r="C152" i="1"/>
  <c r="C133" i="1"/>
  <c r="D130" i="1"/>
  <c r="C125" i="1"/>
  <c r="C108" i="1"/>
  <c r="C111" i="1" s="1"/>
  <c r="C106" i="1"/>
  <c r="C87" i="1"/>
  <c r="C88" i="1" s="1"/>
  <c r="C85" i="1"/>
  <c r="C81" i="1"/>
  <c r="C83" i="1" s="1"/>
  <c r="C74" i="1"/>
  <c r="C78" i="1" s="1"/>
  <c r="C94" i="1" s="1"/>
  <c r="C41" i="1"/>
  <c r="D43" i="1" s="1"/>
  <c r="D48" i="1" s="1"/>
  <c r="D49" i="1" s="1"/>
  <c r="D22" i="1"/>
  <c r="D26" i="1" s="1"/>
  <c r="D27" i="1" s="1"/>
  <c r="E8" i="1"/>
  <c r="C16" i="1" s="1"/>
  <c r="E7" i="1"/>
  <c r="C15" i="1" s="1"/>
  <c r="C115" i="1" l="1"/>
  <c r="C119" i="1" s="1"/>
  <c r="C127" i="1" s="1"/>
  <c r="C90" i="1"/>
  <c r="C17" i="1"/>
</calcChain>
</file>

<file path=xl/sharedStrings.xml><?xml version="1.0" encoding="utf-8"?>
<sst xmlns="http://schemas.openxmlformats.org/spreadsheetml/2006/main" count="208" uniqueCount="110">
  <si>
    <t>DESIGN OF BRIDGE</t>
  </si>
  <si>
    <t>INPUT VARIABLES:</t>
  </si>
  <si>
    <t>Support:</t>
  </si>
  <si>
    <t>Slab Thickness:</t>
  </si>
  <si>
    <t>Wearing Coat:</t>
  </si>
  <si>
    <t>Unit weight of concrete:</t>
  </si>
  <si>
    <t>Simply Supported</t>
  </si>
  <si>
    <t>mm</t>
  </si>
  <si>
    <r>
      <t>KN/m</t>
    </r>
    <r>
      <rPr>
        <vertAlign val="superscript"/>
        <sz val="11"/>
        <color theme="1"/>
        <rFont val="Calibri"/>
        <family val="2"/>
        <scheme val="minor"/>
      </rPr>
      <t>2</t>
    </r>
  </si>
  <si>
    <t>Self Weight =</t>
  </si>
  <si>
    <t>Wearing coat =</t>
  </si>
  <si>
    <t>TOTAL LOAD =</t>
  </si>
  <si>
    <t>m</t>
  </si>
  <si>
    <t xml:space="preserve">Live Load(Class A)  + Impact = </t>
  </si>
  <si>
    <t>Factored Load(1.5 DL + LL) =</t>
  </si>
  <si>
    <t xml:space="preserve">Effective Depth (d) = </t>
  </si>
  <si>
    <r>
      <t>Moment = M = WL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/8 = </t>
    </r>
  </si>
  <si>
    <t>KNm</t>
  </si>
  <si>
    <t xml:space="preserve">Reinforcement = Ast = </t>
  </si>
  <si>
    <t>Fy</t>
  </si>
  <si>
    <r>
      <t>N/mm</t>
    </r>
    <r>
      <rPr>
        <vertAlign val="superscript"/>
        <sz val="11"/>
        <color theme="1"/>
        <rFont val="Calibri"/>
        <family val="2"/>
        <scheme val="minor"/>
      </rPr>
      <t>2</t>
    </r>
  </si>
  <si>
    <t>=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</si>
  <si>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</si>
  <si>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mm</t>
    </r>
    <r>
      <rPr>
        <vertAlign val="superscript"/>
        <sz val="11"/>
        <color theme="1"/>
        <rFont val="Calibri"/>
        <family val="2"/>
        <scheme val="minor"/>
      </rPr>
      <t>2</t>
    </r>
  </si>
  <si>
    <t>Ast =</t>
  </si>
  <si>
    <t>Provide =</t>
  </si>
  <si>
    <t>T12@ 150mm c/c @ Bottom</t>
  </si>
  <si>
    <t>T10@ 150mm c/c @ Top</t>
  </si>
  <si>
    <t>Main Girder:</t>
  </si>
  <si>
    <t>Span =</t>
  </si>
  <si>
    <t xml:space="preserve">Width = </t>
  </si>
  <si>
    <t>Depth =</t>
  </si>
  <si>
    <t>Load(Per Girder)</t>
  </si>
  <si>
    <t>Dead Load =</t>
  </si>
  <si>
    <t>Live Load =</t>
  </si>
  <si>
    <t>KN/m</t>
  </si>
  <si>
    <t>Factored Load =</t>
  </si>
  <si>
    <t>M =</t>
  </si>
  <si>
    <t>Effective Depth =</t>
  </si>
  <si>
    <t xml:space="preserve">Ast Required = </t>
  </si>
  <si>
    <t>Load Calculation:</t>
  </si>
  <si>
    <t>Sub structure:</t>
  </si>
  <si>
    <t>R.C.C Wall</t>
  </si>
  <si>
    <t>Height(H) =</t>
  </si>
  <si>
    <t>Thickness =</t>
  </si>
  <si>
    <t>Base Width =</t>
  </si>
  <si>
    <t>Toe =</t>
  </si>
  <si>
    <t>Heel =</t>
  </si>
  <si>
    <t>Stability Check:</t>
  </si>
  <si>
    <r>
      <rPr>
        <sz val="11"/>
        <color theme="1"/>
        <rFont val="Calibri"/>
        <family val="2"/>
        <scheme val="minor"/>
      </rPr>
      <t>ϕ</t>
    </r>
    <r>
      <rPr>
        <sz val="12.65"/>
        <color theme="1"/>
        <rFont val="Calibri"/>
        <family val="2"/>
        <scheme val="minor"/>
      </rPr>
      <t xml:space="preserve"> =</t>
    </r>
  </si>
  <si>
    <r>
      <t>30</t>
    </r>
    <r>
      <rPr>
        <vertAlign val="superscript"/>
        <sz val="11"/>
        <rFont val="Times New Roman"/>
        <family val="1"/>
      </rPr>
      <t>o</t>
    </r>
  </si>
  <si>
    <r>
      <t>K</t>
    </r>
    <r>
      <rPr>
        <vertAlign val="subscript"/>
        <sz val="11"/>
        <color theme="1"/>
        <rFont val="Calibri"/>
        <family val="2"/>
        <scheme val="minor"/>
      </rPr>
      <t xml:space="preserve">o </t>
    </r>
    <r>
      <rPr>
        <sz val="11"/>
        <color theme="1"/>
        <rFont val="Calibri"/>
        <family val="2"/>
        <scheme val="minor"/>
      </rPr>
      <t>=</t>
    </r>
  </si>
  <si>
    <t>Load from super structure =</t>
  </si>
  <si>
    <t>KN</t>
  </si>
  <si>
    <r>
      <t>Friction Coefficient(</t>
    </r>
    <r>
      <rPr>
        <sz val="11"/>
        <color theme="1"/>
        <rFont val="Calibri"/>
        <family val="2"/>
      </rPr>
      <t>μ</t>
    </r>
    <r>
      <rPr>
        <sz val="12.65"/>
        <color theme="1"/>
        <rFont val="Calibri"/>
        <family val="2"/>
      </rPr>
      <t>)</t>
    </r>
    <r>
      <rPr>
        <sz val="11"/>
        <color theme="1"/>
        <rFont val="Calibri"/>
        <family val="2"/>
        <scheme val="minor"/>
      </rPr>
      <t>=</t>
    </r>
  </si>
  <si>
    <t xml:space="preserve">P = </t>
  </si>
  <si>
    <t>Overturning Moment,</t>
  </si>
  <si>
    <t xml:space="preserve">M = </t>
  </si>
  <si>
    <t>P * H/3</t>
  </si>
  <si>
    <t>Backfill Pressure( Rankine),</t>
  </si>
  <si>
    <t>Resisting Moment:</t>
  </si>
  <si>
    <t>Wall(W) =</t>
  </si>
  <si>
    <t>Fck</t>
  </si>
  <si>
    <t>Lever Arm to Toe =</t>
  </si>
  <si>
    <r>
      <t xml:space="preserve">(M) </t>
    </r>
    <r>
      <rPr>
        <vertAlign val="subscript"/>
        <sz val="11"/>
        <color theme="1"/>
        <rFont val="Calibri"/>
        <family val="2"/>
        <scheme val="minor"/>
      </rPr>
      <t>Resist</t>
    </r>
    <r>
      <rPr>
        <sz val="11"/>
        <color theme="1"/>
        <rFont val="Calibri"/>
        <family val="2"/>
        <scheme val="minor"/>
      </rPr>
      <t xml:space="preserve"> =</t>
    </r>
  </si>
  <si>
    <t>Footing Weight =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</si>
  <si>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</si>
  <si>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t>Weight of Footing =</t>
  </si>
  <si>
    <t>~</t>
  </si>
  <si>
    <t>Total resisting moment =</t>
  </si>
  <si>
    <t>Overturning Check:</t>
  </si>
  <si>
    <t>&gt;</t>
  </si>
  <si>
    <t>SAFE</t>
  </si>
  <si>
    <t>Hence,</t>
  </si>
  <si>
    <t>Footing Design:</t>
  </si>
  <si>
    <t>Load Per Side =</t>
  </si>
  <si>
    <t>SBC =</t>
  </si>
  <si>
    <t>Required Area = A =</t>
  </si>
  <si>
    <t>A =</t>
  </si>
  <si>
    <t>But we Provide,</t>
  </si>
  <si>
    <t>Pressure under Footing:</t>
  </si>
  <si>
    <t>&lt;</t>
  </si>
  <si>
    <t>OK</t>
  </si>
  <si>
    <t>Moment(M) =</t>
  </si>
  <si>
    <r>
      <t>M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= 0.87xFyxAstxZ</t>
    </r>
  </si>
  <si>
    <t>Z =</t>
  </si>
  <si>
    <t>0.9 * d</t>
  </si>
  <si>
    <t>Provide 12mm ϕ =</t>
  </si>
  <si>
    <t>Spacing =</t>
  </si>
  <si>
    <t xml:space="preserve">12@ 150mm c/c </t>
  </si>
  <si>
    <t>Ast Provided =</t>
  </si>
  <si>
    <r>
      <t>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/m</t>
    </r>
  </si>
  <si>
    <t>R.C.C Wall Reinforcement Calculation:</t>
  </si>
  <si>
    <t>Wall Height =</t>
  </si>
  <si>
    <t>Fy =</t>
  </si>
  <si>
    <t>Fck =</t>
  </si>
  <si>
    <t>Soil Back Fill(𝛾) =</t>
  </si>
  <si>
    <t>Soil Density(𝛾) =</t>
  </si>
  <si>
    <t>Cover =</t>
  </si>
  <si>
    <t>Maximum Bending moment at Base,</t>
  </si>
  <si>
    <r>
      <t>M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=</t>
    </r>
  </si>
  <si>
    <t xml:space="preserve">Effective Depth(d), </t>
  </si>
  <si>
    <t>Clear cover =</t>
  </si>
  <si>
    <t xml:space="preserve">Bar Diameter = </t>
  </si>
  <si>
    <t>d =</t>
  </si>
  <si>
    <r>
      <t xml:space="preserve">D - C.C - </t>
    </r>
    <r>
      <rPr>
        <sz val="11"/>
        <color theme="1"/>
        <rFont val="Calibri"/>
        <family val="2"/>
      </rPr>
      <t>ϕ</t>
    </r>
    <r>
      <rPr>
        <sz val="14.3"/>
        <color theme="1"/>
        <rFont val="Calibri"/>
        <family val="2"/>
      </rPr>
      <t>/</t>
    </r>
    <r>
      <rPr>
        <vertAlign val="subscript"/>
        <sz val="14.3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</t>
    </r>
  </si>
  <si>
    <r>
      <t>Mu = 40.6 x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</t>
    </r>
  </si>
  <si>
    <t xml:space="preserve">Z = 0.9 d </t>
  </si>
  <si>
    <t>Z ~</t>
  </si>
  <si>
    <t xml:space="preserve">16@ 150mm c/c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</si>
</sst>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2"/>
      <color theme="5" tint="-0.499984740745262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FA7D00"/>
      <name val="Times New Roman"/>
      <family val="1"/>
    </font>
    <font>
      <b/>
      <sz val="11"/>
      <color rgb="FF3F3F3F"/>
      <name val="Times New Roman"/>
      <family val="1"/>
    </font>
    <font>
      <vertAlign val="superscript"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2.65"/>
      <color theme="1"/>
      <name val="Calibri"/>
      <family val="2"/>
    </font>
    <font>
      <sz val="12.65"/>
      <color theme="1"/>
      <name val="Calibri"/>
      <family val="2"/>
      <scheme val="minor"/>
    </font>
    <font>
      <vertAlign val="superscript"/>
      <sz val="11"/>
      <name val="Times New Roman"/>
      <family val="1"/>
    </font>
    <font>
      <vertAlign val="subscript"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4.3"/>
      <color theme="1"/>
      <name val="Calibri"/>
      <family val="2"/>
    </font>
    <font>
      <vertAlign val="subscript"/>
      <sz val="14.3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4" fillId="4" borderId="1" applyNumberFormat="0" applyAlignment="0" applyProtection="0"/>
    <xf numFmtId="0" fontId="17" fillId="0" borderId="0" applyNumberFormat="0" applyFill="0" applyBorder="0" applyAlignment="0" applyProtection="0"/>
  </cellStyleXfs>
  <cellXfs count="45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0" fillId="3" borderId="4" xfId="2" applyFont="1" applyBorder="1"/>
    <xf numFmtId="0" fontId="10" fillId="3" borderId="5" xfId="2" applyFont="1" applyBorder="1"/>
    <xf numFmtId="0" fontId="11" fillId="0" borderId="0" xfId="0" applyFont="1"/>
    <xf numFmtId="0" fontId="6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10" fillId="3" borderId="1" xfId="2" applyFont="1" applyAlignment="1">
      <alignment horizontal="right"/>
    </xf>
    <xf numFmtId="0" fontId="10" fillId="3" borderId="1" xfId="2" applyFont="1"/>
    <xf numFmtId="0" fontId="14" fillId="4" borderId="1" xfId="4" applyFont="1" applyAlignment="1">
      <alignment horizontal="center"/>
    </xf>
    <xf numFmtId="0" fontId="15" fillId="4" borderId="2" xfId="3" applyFont="1" applyAlignment="1">
      <alignment horizontal="center"/>
    </xf>
    <xf numFmtId="0" fontId="14" fillId="4" borderId="1" xfId="4" applyFont="1" applyAlignment="1">
      <alignment horizontal="right"/>
    </xf>
    <xf numFmtId="0" fontId="8" fillId="0" borderId="0" xfId="0" applyFont="1" applyAlignment="1">
      <alignment horizontal="right"/>
    </xf>
    <xf numFmtId="2" fontId="14" fillId="4" borderId="1" xfId="4" applyNumberFormat="1" applyFont="1" applyAlignment="1">
      <alignment horizontal="right"/>
    </xf>
    <xf numFmtId="0" fontId="5" fillId="0" borderId="0" xfId="0" applyFont="1" applyAlignment="1">
      <alignment horizontal="right"/>
    </xf>
    <xf numFmtId="49" fontId="17" fillId="0" borderId="0" xfId="5" applyNumberFormat="1"/>
    <xf numFmtId="0" fontId="13" fillId="0" borderId="0" xfId="0" applyFont="1" applyAlignment="1">
      <alignment horizontal="right"/>
    </xf>
    <xf numFmtId="0" fontId="15" fillId="4" borderId="2" xfId="3" applyFont="1" applyAlignment="1">
      <alignment horizontal="right"/>
    </xf>
    <xf numFmtId="0" fontId="10" fillId="3" borderId="3" xfId="2" applyFont="1" applyBorder="1"/>
    <xf numFmtId="0" fontId="10" fillId="3" borderId="3" xfId="2" applyFont="1" applyBorder="1" applyAlignment="1">
      <alignment horizontal="right"/>
    </xf>
    <xf numFmtId="0" fontId="6" fillId="0" borderId="0" xfId="0" applyFont="1" applyAlignment="1">
      <alignment horizontal="center"/>
    </xf>
    <xf numFmtId="2" fontId="15" fillId="4" borderId="2" xfId="3" applyNumberFormat="1" applyFont="1" applyAlignment="1">
      <alignment horizontal="right"/>
    </xf>
    <xf numFmtId="0" fontId="18" fillId="0" borderId="0" xfId="0" applyFont="1" applyAlignment="1">
      <alignment horizontal="right"/>
    </xf>
    <xf numFmtId="0" fontId="15" fillId="4" borderId="0" xfId="3" applyFont="1" applyBorder="1" applyAlignment="1">
      <alignment horizontal="right"/>
    </xf>
    <xf numFmtId="0" fontId="14" fillId="4" borderId="3" xfId="4" applyFont="1" applyBorder="1" applyAlignment="1">
      <alignment horizontal="right"/>
    </xf>
    <xf numFmtId="2" fontId="0" fillId="0" borderId="0" xfId="0" applyNumberFormat="1"/>
    <xf numFmtId="2" fontId="14" fillId="4" borderId="3" xfId="4" applyNumberFormat="1" applyFont="1" applyBorder="1" applyAlignment="1">
      <alignment horizontal="right"/>
    </xf>
    <xf numFmtId="2" fontId="14" fillId="4" borderId="6" xfId="4" applyNumberFormat="1" applyFont="1" applyBorder="1" applyAlignment="1">
      <alignment horizontal="right"/>
    </xf>
    <xf numFmtId="0" fontId="1" fillId="2" borderId="3" xfId="1" applyBorder="1" applyAlignment="1">
      <alignment horizontal="center"/>
    </xf>
    <xf numFmtId="2" fontId="14" fillId="4" borderId="0" xfId="4" applyNumberFormat="1" applyFont="1" applyBorder="1" applyAlignment="1">
      <alignment horizontal="right"/>
    </xf>
    <xf numFmtId="1" fontId="14" fillId="4" borderId="3" xfId="4" applyNumberFormat="1" applyFont="1" applyBorder="1" applyAlignment="1">
      <alignment horizontal="right"/>
    </xf>
    <xf numFmtId="1" fontId="14" fillId="4" borderId="0" xfId="4" applyNumberFormat="1" applyFont="1" applyBorder="1" applyAlignment="1">
      <alignment horizontal="right"/>
    </xf>
    <xf numFmtId="49" fontId="23" fillId="0" borderId="0" xfId="5" applyNumberFormat="1" applyFont="1"/>
    <xf numFmtId="0" fontId="11" fillId="0" borderId="0" xfId="0" applyFont="1" applyAlignment="1">
      <alignment vertical="center"/>
    </xf>
    <xf numFmtId="164" fontId="14" fillId="4" borderId="1" xfId="4" applyNumberFormat="1" applyFont="1" applyAlignment="1">
      <alignment horizontal="right"/>
    </xf>
    <xf numFmtId="1" fontId="14" fillId="4" borderId="1" xfId="4" applyNumberFormat="1" applyFont="1" applyAlignment="1">
      <alignment horizontal="right"/>
    </xf>
    <xf numFmtId="0" fontId="26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center" wrapText="1"/>
    </xf>
  </cellXfs>
  <cellStyles count="6">
    <cellStyle name="Calculation" xfId="4" builtinId="22"/>
    <cellStyle name="Good" xfId="1" builtinId="26"/>
    <cellStyle name="Hyperlink" xfId="5" builtinId="8"/>
    <cellStyle name="Input" xfId="2" builtinId="20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22860</xdr:colOff>
      <xdr:row>22</xdr:row>
      <xdr:rowOff>179071</xdr:rowOff>
    </xdr:from>
    <xdr:ext cx="670560" cy="2592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18C7508-A4E3-FE5D-55EC-BE7A22F315AE}"/>
                </a:ext>
              </a:extLst>
            </xdr:cNvPr>
            <xdr:cNvSpPr txBox="1"/>
          </xdr:nvSpPr>
          <xdr:spPr>
            <a:xfrm>
              <a:off x="2446020" y="4202431"/>
              <a:ext cx="670560" cy="2592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IN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IN" sz="1100" b="0" i="1">
                          <a:latin typeface="Cambria Math" panose="02040503050406030204" pitchFamily="18" charset="0"/>
                        </a:rPr>
                        <m:t>𝑀</m:t>
                      </m:r>
                    </m:num>
                    <m:den>
                      <m:r>
                        <a:rPr lang="en-IN" sz="1100" b="0" i="1">
                          <a:latin typeface="Cambria Math" panose="02040503050406030204" pitchFamily="18" charset="0"/>
                        </a:rPr>
                        <m:t>0.87∗</m:t>
                      </m:r>
                      <m:r>
                        <a:rPr lang="en-I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𝐹𝑦</m:t>
                      </m:r>
                      <m:r>
                        <a:rPr lang="en-I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∗</m:t>
                      </m:r>
                      <m:r>
                        <a:rPr lang="en-I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𝐽</m:t>
                      </m:r>
                      <m:r>
                        <a:rPr lang="en-I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∗</m:t>
                      </m:r>
                      <m:r>
                        <a:rPr lang="en-I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</m:t>
                      </m:r>
                    </m:den>
                  </m:f>
                </m:oMath>
              </a14:m>
              <a:r>
                <a:rPr lang="en-IN" sz="1100"/>
                <a:t> 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18C7508-A4E3-FE5D-55EC-BE7A22F315AE}"/>
                </a:ext>
              </a:extLst>
            </xdr:cNvPr>
            <xdr:cNvSpPr txBox="1"/>
          </xdr:nvSpPr>
          <xdr:spPr>
            <a:xfrm>
              <a:off x="2446020" y="4202431"/>
              <a:ext cx="670560" cy="2592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𝑀/(0.87∗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𝐹𝑦∗𝐽∗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𝑑)</a:t>
              </a:r>
              <a:r>
                <a:rPr lang="en-IN" sz="1100"/>
                <a:t> </a:t>
              </a:r>
            </a:p>
          </xdr:txBody>
        </xdr:sp>
      </mc:Fallback>
    </mc:AlternateContent>
    <xdr:clientData/>
  </xdr:oneCellAnchor>
  <xdr:oneCellAnchor>
    <xdr:from>
      <xdr:col>3</xdr:col>
      <xdr:colOff>0</xdr:colOff>
      <xdr:row>44</xdr:row>
      <xdr:rowOff>185530</xdr:rowOff>
    </xdr:from>
    <xdr:ext cx="670560" cy="2592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34A8F3F-E76B-46B5-BF01-D7D4CEFBE8D7}"/>
                </a:ext>
              </a:extLst>
            </xdr:cNvPr>
            <xdr:cNvSpPr txBox="1"/>
          </xdr:nvSpPr>
          <xdr:spPr>
            <a:xfrm>
              <a:off x="2425148" y="8647043"/>
              <a:ext cx="670560" cy="2592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IN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IN" sz="1100" b="0" i="1">
                          <a:latin typeface="Cambria Math" panose="02040503050406030204" pitchFamily="18" charset="0"/>
                        </a:rPr>
                        <m:t>𝑀</m:t>
                      </m:r>
                    </m:num>
                    <m:den>
                      <m:r>
                        <a:rPr lang="en-IN" sz="1100" b="0" i="1">
                          <a:latin typeface="Cambria Math" panose="02040503050406030204" pitchFamily="18" charset="0"/>
                        </a:rPr>
                        <m:t>0.87∗</m:t>
                      </m:r>
                      <m:r>
                        <a:rPr lang="en-I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𝐹𝑦</m:t>
                      </m:r>
                      <m:r>
                        <a:rPr lang="en-I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∗</m:t>
                      </m:r>
                      <m:r>
                        <a:rPr lang="en-I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𝐽</m:t>
                      </m:r>
                      <m:r>
                        <a:rPr lang="en-I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∗</m:t>
                      </m:r>
                      <m:r>
                        <a:rPr lang="en-I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</m:t>
                      </m:r>
                    </m:den>
                  </m:f>
                </m:oMath>
              </a14:m>
              <a:r>
                <a:rPr lang="en-IN" sz="1100"/>
                <a:t> 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34A8F3F-E76B-46B5-BF01-D7D4CEFBE8D7}"/>
                </a:ext>
              </a:extLst>
            </xdr:cNvPr>
            <xdr:cNvSpPr txBox="1"/>
          </xdr:nvSpPr>
          <xdr:spPr>
            <a:xfrm>
              <a:off x="2425148" y="8647043"/>
              <a:ext cx="670560" cy="2592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𝑀/(0.87∗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𝐹𝑦∗𝐽∗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𝑑)</a:t>
              </a:r>
              <a:r>
                <a:rPr lang="en-IN" sz="1100"/>
                <a:t> </a:t>
              </a:r>
            </a:p>
          </xdr:txBody>
        </xdr:sp>
      </mc:Fallback>
    </mc:AlternateContent>
    <xdr:clientData/>
  </xdr:oneCellAnchor>
  <xdr:oneCellAnchor>
    <xdr:from>
      <xdr:col>2</xdr:col>
      <xdr:colOff>112644</xdr:colOff>
      <xdr:row>64</xdr:row>
      <xdr:rowOff>43069</xdr:rowOff>
    </xdr:from>
    <xdr:ext cx="579518" cy="3479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BFBCA95-DA41-D209-5162-2C01749813D9}"/>
                </a:ext>
              </a:extLst>
            </xdr:cNvPr>
            <xdr:cNvSpPr txBox="1"/>
          </xdr:nvSpPr>
          <xdr:spPr>
            <a:xfrm>
              <a:off x="1424609" y="12254947"/>
              <a:ext cx="579518" cy="3479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1−</m:t>
                        </m:r>
                        <m:func>
                          <m:funcPr>
                            <m:ctrlPr>
                              <a:rPr lang="en-IN" sz="110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IN" sz="1100" i="1">
                                <a:latin typeface="Cambria Math" panose="02040503050406030204" pitchFamily="18" charset="0"/>
                              </a:rPr>
                              <m:t>sin</m:t>
                            </m:r>
                          </m:fName>
                          <m:e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𝜙</m:t>
                            </m:r>
                          </m:e>
                        </m:func>
                      </m:num>
                      <m:den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1+</m:t>
                        </m:r>
                        <m:func>
                          <m:funcPr>
                            <m:ctrlPr>
                              <a:rPr lang="en-IN" sz="110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IN" sz="1100" i="1">
                                <a:latin typeface="Cambria Math" panose="02040503050406030204" pitchFamily="18" charset="0"/>
                              </a:rPr>
                              <m:t>sin</m:t>
                            </m:r>
                          </m:fName>
                          <m:e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𝜙</m:t>
                            </m:r>
                          </m:e>
                        </m:func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BFBCA95-DA41-D209-5162-2C01749813D9}"/>
                </a:ext>
              </a:extLst>
            </xdr:cNvPr>
            <xdr:cNvSpPr txBox="1"/>
          </xdr:nvSpPr>
          <xdr:spPr>
            <a:xfrm>
              <a:off x="1424609" y="12254947"/>
              <a:ext cx="579518" cy="3479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100" i="0">
                  <a:latin typeface="Cambria Math" panose="02040503050406030204" pitchFamily="18" charset="0"/>
                </a:rPr>
                <a:t>1−sin⁡𝜙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)/(</a:t>
              </a:r>
              <a:r>
                <a:rPr lang="en-IN" sz="1100" i="0">
                  <a:latin typeface="Cambria Math" panose="02040503050406030204" pitchFamily="18" charset="0"/>
                </a:rPr>
                <a:t>1+sin⁡𝜙 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2</xdr:col>
      <xdr:colOff>92765</xdr:colOff>
      <xdr:row>70</xdr:row>
      <xdr:rowOff>182218</xdr:rowOff>
    </xdr:from>
    <xdr:ext cx="526876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2048EA4-C72C-3295-5394-67900C9F960C}"/>
                </a:ext>
              </a:extLst>
            </xdr:cNvPr>
            <xdr:cNvSpPr txBox="1"/>
          </xdr:nvSpPr>
          <xdr:spPr>
            <a:xfrm>
              <a:off x="1477617" y="13732566"/>
              <a:ext cx="526876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sSub>
                      <m:sSubPr>
                        <m:ctrlPr>
                          <a:rPr lang="en-IN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IN" sz="1100" i="1">
                        <a:latin typeface="Cambria Math" panose="02040503050406030204" pitchFamily="18" charset="0"/>
                      </a:rPr>
                      <m:t>𝛾</m:t>
                    </m:r>
                    <m:sSup>
                      <m:sSupPr>
                        <m:ctrlPr>
                          <a:rPr lang="en-IN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p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2048EA4-C72C-3295-5394-67900C9F960C}"/>
                </a:ext>
              </a:extLst>
            </xdr:cNvPr>
            <xdr:cNvSpPr txBox="1"/>
          </xdr:nvSpPr>
          <xdr:spPr>
            <a:xfrm>
              <a:off x="1477617" y="13732566"/>
              <a:ext cx="526876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</a:rPr>
                <a:t>1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IN" sz="1100" i="0">
                  <a:latin typeface="Cambria Math" panose="02040503050406030204" pitchFamily="18" charset="0"/>
                </a:rPr>
                <a:t>2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 </a:t>
              </a:r>
              <a:r>
                <a:rPr lang="en-IN" sz="1100" i="0">
                  <a:latin typeface="Cambria Math" panose="02040503050406030204" pitchFamily="18" charset="0"/>
                </a:rPr>
                <a:t>𝑘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100" i="0">
                  <a:latin typeface="Cambria Math" panose="02040503050406030204" pitchFamily="18" charset="0"/>
                </a:rPr>
                <a:t>0 𝛾𝐻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IN" sz="1100" i="0">
                  <a:latin typeface="Cambria Math" panose="02040503050406030204" pitchFamily="18" charset="0"/>
                </a:rPr>
                <a:t>2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</xdr:col>
      <xdr:colOff>159025</xdr:colOff>
      <xdr:row>93</xdr:row>
      <xdr:rowOff>9939</xdr:rowOff>
    </xdr:from>
    <xdr:ext cx="629479" cy="3454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2BDACE6-09B2-94ED-1D3C-C63DCADD557E}"/>
                </a:ext>
              </a:extLst>
            </xdr:cNvPr>
            <xdr:cNvSpPr txBox="1"/>
          </xdr:nvSpPr>
          <xdr:spPr>
            <a:xfrm>
              <a:off x="790396" y="17927825"/>
              <a:ext cx="629479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IN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𝑟𝑒𝑠𝑖𝑠</m:t>
                            </m:r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IN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𝑎𝑐</m:t>
                            </m:r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2BDACE6-09B2-94ED-1D3C-C63DCADD557E}"/>
                </a:ext>
              </a:extLst>
            </xdr:cNvPr>
            <xdr:cNvSpPr txBox="1"/>
          </xdr:nvSpPr>
          <xdr:spPr>
            <a:xfrm>
              <a:off x="790396" y="17927825"/>
              <a:ext cx="629479" cy="345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</a:rPr>
                <a:t>𝑀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100" b="0" i="0">
                  <a:latin typeface="Cambria Math" panose="02040503050406030204" pitchFamily="18" charset="0"/>
                </a:rPr>
                <a:t>𝑟𝑒𝑠𝑖𝑠</a:t>
              </a:r>
              <a:r>
                <a:rPr lang="en-IN" sz="1100" i="0">
                  <a:latin typeface="Cambria Math" panose="02040503050406030204" pitchFamily="18" charset="0"/>
                </a:rPr>
                <a:t>𝑡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IN" sz="1100" i="0">
                  <a:latin typeface="Cambria Math" panose="02040503050406030204" pitchFamily="18" charset="0"/>
                </a:rPr>
                <a:t>𝑀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100" b="0" i="0">
                  <a:latin typeface="Cambria Math" panose="02040503050406030204" pitchFamily="18" charset="0"/>
                </a:rPr>
                <a:t>𝑎𝑐</a:t>
              </a:r>
              <a:r>
                <a:rPr lang="en-IN" sz="1100" i="0">
                  <a:latin typeface="Cambria Math" panose="02040503050406030204" pitchFamily="18" charset="0"/>
                </a:rPr>
                <a:t>𝑡 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2</xdr:col>
      <xdr:colOff>143607</xdr:colOff>
      <xdr:row>103</xdr:row>
      <xdr:rowOff>29307</xdr:rowOff>
    </xdr:from>
    <xdr:ext cx="346890" cy="3214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0D07DB9-9F70-D6AB-16FE-2FD98D2FABAB}"/>
                </a:ext>
              </a:extLst>
            </xdr:cNvPr>
            <xdr:cNvSpPr txBox="1"/>
          </xdr:nvSpPr>
          <xdr:spPr>
            <a:xfrm>
              <a:off x="1696915" y="19729938"/>
              <a:ext cx="346890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  <m:t>𝐿𝑜</m:t>
                        </m:r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𝑎𝑑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𝑆</m:t>
                        </m:r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𝐵𝐶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0D07DB9-9F70-D6AB-16FE-2FD98D2FABAB}"/>
                </a:ext>
              </a:extLst>
            </xdr:cNvPr>
            <xdr:cNvSpPr txBox="1"/>
          </xdr:nvSpPr>
          <xdr:spPr>
            <a:xfrm>
              <a:off x="1696915" y="19729938"/>
              <a:ext cx="346890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𝐿𝑜</a:t>
              </a:r>
              <a:r>
                <a:rPr lang="en-IN" sz="1100" i="0">
                  <a:latin typeface="Cambria Math" panose="02040503050406030204" pitchFamily="18" charset="0"/>
                </a:rPr>
                <a:t>𝑎𝑑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IN" sz="1100" b="0" i="0">
                  <a:latin typeface="Cambria Math" panose="02040503050406030204" pitchFamily="18" charset="0"/>
                </a:rPr>
                <a:t>𝑆</a:t>
              </a:r>
              <a:r>
                <a:rPr lang="en-IN" sz="1100" i="0">
                  <a:latin typeface="Cambria Math" panose="02040503050406030204" pitchFamily="18" charset="0"/>
                </a:rPr>
                <a:t>𝐵𝐶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</xdr:col>
      <xdr:colOff>228446</xdr:colOff>
      <xdr:row>109</xdr:row>
      <xdr:rowOff>159495</xdr:rowOff>
    </xdr:from>
    <xdr:ext cx="44358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94FE738-B843-EAB6-37A4-75FDE7AB8B98}"/>
                </a:ext>
              </a:extLst>
            </xdr:cNvPr>
            <xdr:cNvSpPr txBox="1"/>
          </xdr:nvSpPr>
          <xdr:spPr>
            <a:xfrm>
              <a:off x="862109" y="21162621"/>
              <a:ext cx="4435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𝑐𝑡𝑢𝑎𝑙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94FE738-B843-EAB6-37A4-75FDE7AB8B98}"/>
                </a:ext>
              </a:extLst>
            </xdr:cNvPr>
            <xdr:cNvSpPr txBox="1"/>
          </xdr:nvSpPr>
          <xdr:spPr>
            <a:xfrm>
              <a:off x="862109" y="21162621"/>
              <a:ext cx="4435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</a:rPr>
                <a:t>𝑞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100" i="0">
                  <a:latin typeface="Cambria Math" panose="02040503050406030204" pitchFamily="18" charset="0"/>
                </a:rPr>
                <a:t>𝑎</a:t>
              </a:r>
              <a:r>
                <a:rPr lang="en-IN" sz="1100" b="0" i="0">
                  <a:latin typeface="Cambria Math" panose="02040503050406030204" pitchFamily="18" charset="0"/>
                </a:rPr>
                <a:t>𝑐𝑡𝑢𝑎𝑙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</xdr:col>
      <xdr:colOff>573351</xdr:colOff>
      <xdr:row>113</xdr:row>
      <xdr:rowOff>175537</xdr:rowOff>
    </xdr:from>
    <xdr:ext cx="1795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BD7F174-9897-4496-B1BC-CEB5E5C31DB1}"/>
                </a:ext>
              </a:extLst>
            </xdr:cNvPr>
            <xdr:cNvSpPr txBox="1"/>
          </xdr:nvSpPr>
          <xdr:spPr>
            <a:xfrm>
              <a:off x="1207014" y="21936653"/>
              <a:ext cx="1795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BD7F174-9897-4496-B1BC-CEB5E5C31DB1}"/>
                </a:ext>
              </a:extLst>
            </xdr:cNvPr>
            <xdr:cNvSpPr txBox="1"/>
          </xdr:nvSpPr>
          <xdr:spPr>
            <a:xfrm>
              <a:off x="1207014" y="21936653"/>
              <a:ext cx="1795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</a:rPr>
                <a:t>𝑞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100" b="0" i="0">
                  <a:latin typeface="Cambria Math" panose="02040503050406030204" pitchFamily="18" charset="0"/>
                </a:rPr>
                <a:t>𝑢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2</xdr:col>
      <xdr:colOff>150395</xdr:colOff>
      <xdr:row>115</xdr:row>
      <xdr:rowOff>176463</xdr:rowOff>
    </xdr:from>
    <xdr:ext cx="293991" cy="338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922FC36-BC50-5F62-4DE7-9054D692A327}"/>
                </a:ext>
              </a:extLst>
            </xdr:cNvPr>
            <xdr:cNvSpPr txBox="1"/>
          </xdr:nvSpPr>
          <xdr:spPr>
            <a:xfrm>
              <a:off x="1706479" y="22326600"/>
              <a:ext cx="293991" cy="338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IN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𝑞</m:t>
                            </m:r>
                          </m:e>
                          <m:sub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sub>
                        </m:sSub>
                        <m:sSup>
                          <m:sSupPr>
                            <m:ctrlPr>
                              <a:rPr lang="en-IN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𝑙</m:t>
                            </m:r>
                          </m:e>
                          <m:sup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922FC36-BC50-5F62-4DE7-9054D692A327}"/>
                </a:ext>
              </a:extLst>
            </xdr:cNvPr>
            <xdr:cNvSpPr txBox="1"/>
          </xdr:nvSpPr>
          <xdr:spPr>
            <a:xfrm>
              <a:off x="1706479" y="22326600"/>
              <a:ext cx="293991" cy="338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100" i="0">
                  <a:latin typeface="Cambria Math" panose="02040503050406030204" pitchFamily="18" charset="0"/>
                </a:rPr>
                <a:t>𝑞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100" i="0">
                  <a:latin typeface="Cambria Math" panose="02040503050406030204" pitchFamily="18" charset="0"/>
                </a:rPr>
                <a:t>𝑢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 </a:t>
              </a:r>
              <a:r>
                <a:rPr lang="en-IN" sz="1100" i="0">
                  <a:latin typeface="Cambria Math" panose="02040503050406030204" pitchFamily="18" charset="0"/>
                </a:rPr>
                <a:t>𝑙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IN" sz="1100" i="0">
                  <a:latin typeface="Cambria Math" panose="02040503050406030204" pitchFamily="18" charset="0"/>
                </a:rPr>
                <a:t>2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IN" sz="1100" i="0">
                  <a:latin typeface="Cambria Math" panose="02040503050406030204" pitchFamily="18" charset="0"/>
                </a:rPr>
                <a:t>2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2</xdr:col>
      <xdr:colOff>90237</xdr:colOff>
      <xdr:row>121</xdr:row>
      <xdr:rowOff>12032</xdr:rowOff>
    </xdr:from>
    <xdr:ext cx="505651" cy="364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6F87537-23FA-25F4-3E53-08D80C789859}"/>
                </a:ext>
              </a:extLst>
            </xdr:cNvPr>
            <xdr:cNvSpPr txBox="1"/>
          </xdr:nvSpPr>
          <xdr:spPr>
            <a:xfrm>
              <a:off x="1643545" y="23165109"/>
              <a:ext cx="505651" cy="364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𝑀</m:t>
                        </m:r>
                      </m:num>
                      <m:den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0.87</m:t>
                        </m:r>
                        <m:sSub>
                          <m:sSubPr>
                            <m:ctrlPr>
                              <a:rPr lang="en-IN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sub>
                        </m:sSub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6F87537-23FA-25F4-3E53-08D80C789859}"/>
                </a:ext>
              </a:extLst>
            </xdr:cNvPr>
            <xdr:cNvSpPr txBox="1"/>
          </xdr:nvSpPr>
          <xdr:spPr>
            <a:xfrm>
              <a:off x="1643545" y="23165109"/>
              <a:ext cx="505651" cy="364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</a:rPr>
                <a:t>𝑀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/(</a:t>
              </a:r>
              <a:r>
                <a:rPr lang="en-IN" sz="1100" i="0">
                  <a:latin typeface="Cambria Math" panose="02040503050406030204" pitchFamily="18" charset="0"/>
                </a:rPr>
                <a:t>0.87𝑓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100" i="0">
                  <a:latin typeface="Cambria Math" panose="02040503050406030204" pitchFamily="18" charset="0"/>
                </a:rPr>
                <a:t>𝑦</a:t>
              </a:r>
              <a:r>
                <a:rPr lang="en-IN" sz="1100" b="0" i="0">
                  <a:latin typeface="Cambria Math" panose="02040503050406030204" pitchFamily="18" charset="0"/>
                </a:rPr>
                <a:t> 𝑍</a:t>
              </a:r>
              <a:r>
                <a:rPr lang="en-IN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2</xdr:col>
      <xdr:colOff>301869</xdr:colOff>
      <xdr:row>149</xdr:row>
      <xdr:rowOff>23445</xdr:rowOff>
    </xdr:from>
    <xdr:ext cx="423193" cy="3397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8FAEF67-4433-EFD2-7892-AB085CDB57E3}"/>
                </a:ext>
              </a:extLst>
            </xdr:cNvPr>
            <xdr:cNvSpPr txBox="1"/>
          </xdr:nvSpPr>
          <xdr:spPr>
            <a:xfrm>
              <a:off x="1855177" y="28428460"/>
              <a:ext cx="423193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IN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  <m:sub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𝜈</m:t>
                        </m:r>
                        <m:sSup>
                          <m:sSupPr>
                            <m:ctrlPr>
                              <a:rPr lang="en-IN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  <m:sup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6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8FAEF67-4433-EFD2-7892-AB085CDB57E3}"/>
                </a:ext>
              </a:extLst>
            </xdr:cNvPr>
            <xdr:cNvSpPr txBox="1"/>
          </xdr:nvSpPr>
          <xdr:spPr>
            <a:xfrm>
              <a:off x="1855177" y="28428460"/>
              <a:ext cx="423193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100" i="0">
                  <a:latin typeface="Cambria Math" panose="02040503050406030204" pitchFamily="18" charset="0"/>
                </a:rPr>
                <a:t>𝑘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100" i="0">
                  <a:latin typeface="Cambria Math" panose="02040503050406030204" pitchFamily="18" charset="0"/>
                </a:rPr>
                <a:t>0 𝜈𝐻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IN" sz="1100" i="0">
                  <a:latin typeface="Cambria Math" panose="02040503050406030204" pitchFamily="18" charset="0"/>
                </a:rPr>
                <a:t>3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IN" sz="1100" i="0">
                  <a:latin typeface="Cambria Math" panose="02040503050406030204" pitchFamily="18" charset="0"/>
                </a:rPr>
                <a:t>6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2</xdr:col>
      <xdr:colOff>90237</xdr:colOff>
      <xdr:row>163</xdr:row>
      <xdr:rowOff>12032</xdr:rowOff>
    </xdr:from>
    <xdr:ext cx="505651" cy="364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7651DB2-FA1E-49C0-B624-D67E7F82C5C3}"/>
                </a:ext>
              </a:extLst>
            </xdr:cNvPr>
            <xdr:cNvSpPr txBox="1"/>
          </xdr:nvSpPr>
          <xdr:spPr>
            <a:xfrm>
              <a:off x="1643545" y="31107494"/>
              <a:ext cx="505651" cy="364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𝑀</m:t>
                        </m:r>
                      </m:num>
                      <m:den>
                        <m:r>
                          <a:rPr lang="en-IN" sz="1100" i="1">
                            <a:latin typeface="Cambria Math" panose="02040503050406030204" pitchFamily="18" charset="0"/>
                          </a:rPr>
                          <m:t>0.87</m:t>
                        </m:r>
                        <m:sSub>
                          <m:sSubPr>
                            <m:ctrlPr>
                              <a:rPr lang="en-IN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n-IN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sub>
                        </m:sSub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7651DB2-FA1E-49C0-B624-D67E7F82C5C3}"/>
                </a:ext>
              </a:extLst>
            </xdr:cNvPr>
            <xdr:cNvSpPr txBox="1"/>
          </xdr:nvSpPr>
          <xdr:spPr>
            <a:xfrm>
              <a:off x="1643545" y="31107494"/>
              <a:ext cx="505651" cy="364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</a:rPr>
                <a:t>𝑀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/(</a:t>
              </a:r>
              <a:r>
                <a:rPr lang="en-IN" sz="1100" i="0">
                  <a:latin typeface="Cambria Math" panose="02040503050406030204" pitchFamily="18" charset="0"/>
                </a:rPr>
                <a:t>0.87𝑓</a:t>
              </a:r>
              <a:r>
                <a:rPr lang="en-IN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100" i="0">
                  <a:latin typeface="Cambria Math" panose="02040503050406030204" pitchFamily="18" charset="0"/>
                </a:rPr>
                <a:t>𝑦</a:t>
              </a:r>
              <a:r>
                <a:rPr lang="en-IN" sz="1100" b="0" i="0">
                  <a:latin typeface="Cambria Math" panose="02040503050406030204" pitchFamily="18" charset="0"/>
                </a:rPr>
                <a:t> 𝑍</a:t>
              </a:r>
              <a:r>
                <a:rPr lang="en-IN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IN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2@%20150mm%20c/c" TargetMode="External"/><Relationship Id="rId2" Type="http://schemas.openxmlformats.org/officeDocument/2006/relationships/hyperlink" Target="mailto:T12@%20150mm%20c/c%20@%20Bottom" TargetMode="External"/><Relationship Id="rId1" Type="http://schemas.openxmlformats.org/officeDocument/2006/relationships/hyperlink" Target="mailto:T10@%20150mm%20c/c%20@%20Top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16@%20150mm%20c/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3F40-CE65-4DE9-B6AD-736BC406B4E7}">
  <dimension ref="A2:G173"/>
  <sheetViews>
    <sheetView tabSelected="1" zoomScale="115" zoomScaleNormal="115" workbookViewId="0">
      <selection activeCell="J6" sqref="J6"/>
    </sheetView>
  </sheetViews>
  <sheetFormatPr defaultRowHeight="14.4" x14ac:dyDescent="0.3"/>
  <cols>
    <col min="1" max="1" width="9.21875" customWidth="1"/>
    <col min="2" max="2" width="13.44140625" customWidth="1"/>
    <col min="3" max="3" width="16.21875" customWidth="1"/>
    <col min="4" max="4" width="9.5546875" bestFit="1" customWidth="1"/>
  </cols>
  <sheetData>
    <row r="2" spans="1:6" ht="15.6" x14ac:dyDescent="0.3">
      <c r="A2" s="2" t="s">
        <v>0</v>
      </c>
    </row>
    <row r="4" spans="1:6" x14ac:dyDescent="0.3">
      <c r="A4" s="7" t="s">
        <v>1</v>
      </c>
      <c r="B4" s="8"/>
    </row>
    <row r="6" spans="1:6" x14ac:dyDescent="0.3">
      <c r="B6" s="4" t="s">
        <v>2</v>
      </c>
      <c r="C6" s="12" t="s">
        <v>6</v>
      </c>
    </row>
    <row r="7" spans="1:6" x14ac:dyDescent="0.3">
      <c r="B7" s="4" t="s">
        <v>3</v>
      </c>
      <c r="C7" s="13">
        <v>200</v>
      </c>
      <c r="D7" t="s">
        <v>7</v>
      </c>
      <c r="E7">
        <f>C7/1000</f>
        <v>0.2</v>
      </c>
      <c r="F7" t="s">
        <v>12</v>
      </c>
    </row>
    <row r="8" spans="1:6" x14ac:dyDescent="0.3">
      <c r="B8" s="4" t="s">
        <v>4</v>
      </c>
      <c r="C8" s="13">
        <v>80</v>
      </c>
      <c r="D8" t="s">
        <v>7</v>
      </c>
      <c r="E8">
        <f>C8/1000</f>
        <v>0.08</v>
      </c>
      <c r="F8" t="s">
        <v>12</v>
      </c>
    </row>
    <row r="9" spans="1:6" ht="28.8" customHeight="1" x14ac:dyDescent="0.3">
      <c r="A9" s="42" t="s">
        <v>5</v>
      </c>
      <c r="B9" s="42"/>
      <c r="C9" s="12">
        <v>25</v>
      </c>
      <c r="D9" t="s">
        <v>8</v>
      </c>
    </row>
    <row r="10" spans="1:6" ht="16.2" x14ac:dyDescent="0.3">
      <c r="B10" s="4" t="s">
        <v>19</v>
      </c>
      <c r="C10" s="13">
        <v>500</v>
      </c>
      <c r="D10" t="s">
        <v>20</v>
      </c>
    </row>
    <row r="11" spans="1:6" ht="16.2" x14ac:dyDescent="0.3">
      <c r="B11" s="4" t="s">
        <v>62</v>
      </c>
      <c r="C11" s="13">
        <v>25</v>
      </c>
      <c r="D11" t="s">
        <v>20</v>
      </c>
    </row>
    <row r="12" spans="1:6" x14ac:dyDescent="0.3">
      <c r="B12" s="5"/>
    </row>
    <row r="13" spans="1:6" ht="15.6" x14ac:dyDescent="0.3">
      <c r="A13" s="9" t="s">
        <v>40</v>
      </c>
    </row>
    <row r="15" spans="1:6" ht="16.2" x14ac:dyDescent="0.3">
      <c r="B15" s="4" t="s">
        <v>9</v>
      </c>
      <c r="C15" s="14">
        <f>E7*C9</f>
        <v>5</v>
      </c>
      <c r="D15" t="s">
        <v>8</v>
      </c>
    </row>
    <row r="16" spans="1:6" ht="16.2" x14ac:dyDescent="0.3">
      <c r="B16" s="4" t="s">
        <v>10</v>
      </c>
      <c r="C16" s="14">
        <f>E8*C9</f>
        <v>2</v>
      </c>
      <c r="D16" t="s">
        <v>8</v>
      </c>
    </row>
    <row r="17" spans="1:5" ht="16.2" x14ac:dyDescent="0.3">
      <c r="B17" s="10" t="s">
        <v>11</v>
      </c>
      <c r="C17" s="15">
        <f>C15+C16</f>
        <v>7</v>
      </c>
      <c r="D17" t="s">
        <v>8</v>
      </c>
    </row>
    <row r="19" spans="1:5" ht="16.2" x14ac:dyDescent="0.3">
      <c r="B19" s="11" t="s">
        <v>13</v>
      </c>
      <c r="D19" s="13">
        <v>15</v>
      </c>
      <c r="E19" t="s">
        <v>8</v>
      </c>
    </row>
    <row r="20" spans="1:5" ht="16.2" x14ac:dyDescent="0.3">
      <c r="B20" s="11" t="s">
        <v>14</v>
      </c>
      <c r="D20" s="13">
        <v>33</v>
      </c>
      <c r="E20" t="s">
        <v>8</v>
      </c>
    </row>
    <row r="21" spans="1:5" ht="15.6" customHeight="1" x14ac:dyDescent="0.3">
      <c r="B21" s="11" t="s">
        <v>15</v>
      </c>
      <c r="D21" s="13">
        <v>180</v>
      </c>
      <c r="E21" t="s">
        <v>7</v>
      </c>
    </row>
    <row r="22" spans="1:5" ht="16.8" customHeight="1" x14ac:dyDescent="0.3">
      <c r="B22" s="11" t="s">
        <v>16</v>
      </c>
      <c r="D22" s="16">
        <f>(D20*2*2)/8</f>
        <v>16.5</v>
      </c>
      <c r="E22" t="s">
        <v>17</v>
      </c>
    </row>
    <row r="24" spans="1:5" x14ac:dyDescent="0.3">
      <c r="C24" s="17" t="s">
        <v>18</v>
      </c>
    </row>
    <row r="26" spans="1:5" ht="16.2" x14ac:dyDescent="0.3">
      <c r="C26" s="4" t="s">
        <v>21</v>
      </c>
      <c r="D26">
        <f>D22/(0.87*C10*0.9*D21)</f>
        <v>2.3414218816517667E-4</v>
      </c>
      <c r="E26" t="s">
        <v>22</v>
      </c>
    </row>
    <row r="27" spans="1:5" ht="16.2" x14ac:dyDescent="0.3">
      <c r="C27" s="10" t="s">
        <v>24</v>
      </c>
      <c r="D27" s="18">
        <f>D26*1000000</f>
        <v>234.14218816517666</v>
      </c>
      <c r="E27" t="s">
        <v>23</v>
      </c>
    </row>
    <row r="28" spans="1:5" x14ac:dyDescent="0.3">
      <c r="B28" s="4" t="s">
        <v>25</v>
      </c>
      <c r="C28" s="20" t="s">
        <v>26</v>
      </c>
    </row>
    <row r="29" spans="1:5" x14ac:dyDescent="0.3">
      <c r="C29" s="20" t="s">
        <v>27</v>
      </c>
    </row>
    <row r="31" spans="1:5" ht="15.6" x14ac:dyDescent="0.3">
      <c r="A31" s="43" t="s">
        <v>28</v>
      </c>
      <c r="B31" s="43"/>
    </row>
    <row r="32" spans="1:5" x14ac:dyDescent="0.3">
      <c r="A32" s="7" t="s">
        <v>1</v>
      </c>
      <c r="B32" s="8"/>
    </row>
    <row r="33" spans="2:5" ht="12" customHeight="1" x14ac:dyDescent="0.3"/>
    <row r="34" spans="2:5" x14ac:dyDescent="0.3">
      <c r="B34" s="4" t="s">
        <v>29</v>
      </c>
      <c r="C34" s="13">
        <v>12.3</v>
      </c>
      <c r="D34" t="s">
        <v>12</v>
      </c>
    </row>
    <row r="35" spans="2:5" x14ac:dyDescent="0.3">
      <c r="B35" s="4" t="s">
        <v>30</v>
      </c>
      <c r="C35" s="13">
        <v>450</v>
      </c>
      <c r="D35" t="s">
        <v>7</v>
      </c>
    </row>
    <row r="36" spans="2:5" x14ac:dyDescent="0.3">
      <c r="B36" s="4" t="s">
        <v>31</v>
      </c>
      <c r="C36" s="13">
        <v>1000</v>
      </c>
      <c r="D36" t="s">
        <v>7</v>
      </c>
    </row>
    <row r="38" spans="2:5" ht="15.6" x14ac:dyDescent="0.3">
      <c r="B38" s="21" t="s">
        <v>32</v>
      </c>
    </row>
    <row r="39" spans="2:5" x14ac:dyDescent="0.3">
      <c r="B39" s="17" t="s">
        <v>33</v>
      </c>
      <c r="C39" s="13">
        <v>30</v>
      </c>
      <c r="D39" t="s">
        <v>35</v>
      </c>
    </row>
    <row r="40" spans="2:5" x14ac:dyDescent="0.3">
      <c r="B40" s="17" t="s">
        <v>34</v>
      </c>
      <c r="C40" s="13">
        <v>40</v>
      </c>
      <c r="D40" t="s">
        <v>35</v>
      </c>
    </row>
    <row r="41" spans="2:5" ht="16.2" x14ac:dyDescent="0.3">
      <c r="B41" s="17" t="s">
        <v>36</v>
      </c>
      <c r="C41" s="16">
        <f>1.5*(C39+C40)</f>
        <v>105</v>
      </c>
      <c r="D41" t="s">
        <v>8</v>
      </c>
    </row>
    <row r="43" spans="2:5" ht="16.8" customHeight="1" x14ac:dyDescent="0.3">
      <c r="B43" s="11" t="s">
        <v>16</v>
      </c>
      <c r="D43" s="18">
        <f>(C41*C34*C34)/8</f>
        <v>1985.6812500000001</v>
      </c>
      <c r="E43" t="s">
        <v>17</v>
      </c>
    </row>
    <row r="44" spans="2:5" x14ac:dyDescent="0.3">
      <c r="C44" s="10" t="s">
        <v>37</v>
      </c>
      <c r="D44" s="22">
        <v>2000</v>
      </c>
      <c r="E44" t="s">
        <v>17</v>
      </c>
    </row>
    <row r="45" spans="2:5" x14ac:dyDescent="0.3">
      <c r="C45" s="4" t="s">
        <v>38</v>
      </c>
      <c r="D45">
        <v>950</v>
      </c>
      <c r="E45" t="s">
        <v>7</v>
      </c>
    </row>
    <row r="46" spans="2:5" x14ac:dyDescent="0.3">
      <c r="C46" s="4" t="s">
        <v>39</v>
      </c>
    </row>
    <row r="48" spans="2:5" ht="16.2" x14ac:dyDescent="0.3">
      <c r="C48" s="4" t="s">
        <v>21</v>
      </c>
      <c r="D48">
        <f>D43/(0.87*C10*0.9*D45)</f>
        <v>5.3389292196007266E-3</v>
      </c>
      <c r="E48" t="s">
        <v>22</v>
      </c>
    </row>
    <row r="49" spans="1:5" ht="16.2" x14ac:dyDescent="0.3">
      <c r="D49" s="18">
        <f>D48*1000000</f>
        <v>5338.9292196007264</v>
      </c>
      <c r="E49" t="s">
        <v>23</v>
      </c>
    </row>
    <row r="50" spans="1:5" ht="16.2" x14ac:dyDescent="0.3">
      <c r="C50" s="10" t="s">
        <v>24</v>
      </c>
      <c r="D50" s="22">
        <v>5400</v>
      </c>
      <c r="E50" t="s">
        <v>23</v>
      </c>
    </row>
    <row r="52" spans="1:5" ht="15.6" x14ac:dyDescent="0.3">
      <c r="A52" s="9" t="s">
        <v>41</v>
      </c>
    </row>
    <row r="53" spans="1:5" x14ac:dyDescent="0.3">
      <c r="A53" s="3" t="s">
        <v>42</v>
      </c>
    </row>
    <row r="54" spans="1:5" x14ac:dyDescent="0.3">
      <c r="A54" s="7" t="s">
        <v>1</v>
      </c>
      <c r="B54" s="8"/>
    </row>
    <row r="56" spans="1:5" x14ac:dyDescent="0.3">
      <c r="B56" s="4" t="s">
        <v>43</v>
      </c>
      <c r="C56" s="13">
        <v>4</v>
      </c>
      <c r="D56" t="s">
        <v>12</v>
      </c>
    </row>
    <row r="57" spans="1:5" x14ac:dyDescent="0.3">
      <c r="B57" s="4" t="s">
        <v>44</v>
      </c>
      <c r="C57" s="13">
        <v>0.6</v>
      </c>
      <c r="D57" t="s">
        <v>12</v>
      </c>
    </row>
    <row r="58" spans="1:5" x14ac:dyDescent="0.3">
      <c r="B58" s="4" t="s">
        <v>45</v>
      </c>
      <c r="C58" s="13">
        <v>2.4</v>
      </c>
      <c r="D58" t="s">
        <v>12</v>
      </c>
    </row>
    <row r="59" spans="1:5" x14ac:dyDescent="0.3">
      <c r="B59" s="4" t="s">
        <v>46</v>
      </c>
      <c r="C59" s="13">
        <v>0.8</v>
      </c>
      <c r="D59" t="s">
        <v>12</v>
      </c>
    </row>
    <row r="60" spans="1:5" x14ac:dyDescent="0.3">
      <c r="B60" s="4" t="s">
        <v>47</v>
      </c>
      <c r="C60" s="13">
        <v>1.6</v>
      </c>
      <c r="D60" t="s">
        <v>12</v>
      </c>
    </row>
    <row r="62" spans="1:5" x14ac:dyDescent="0.3">
      <c r="A62" s="1" t="s">
        <v>48</v>
      </c>
    </row>
    <row r="63" spans="1:5" x14ac:dyDescent="0.3">
      <c r="B63" s="4" t="s">
        <v>97</v>
      </c>
      <c r="C63" s="23">
        <v>18</v>
      </c>
    </row>
    <row r="64" spans="1:5" ht="18" x14ac:dyDescent="0.35">
      <c r="B64" s="4" t="s">
        <v>49</v>
      </c>
      <c r="C64" s="24" t="s">
        <v>50</v>
      </c>
    </row>
    <row r="65" spans="1:4" ht="15.6" x14ac:dyDescent="0.35">
      <c r="B65" s="4" t="s">
        <v>51</v>
      </c>
    </row>
    <row r="67" spans="1:4" ht="15.6" x14ac:dyDescent="0.35">
      <c r="B67" s="4" t="s">
        <v>51</v>
      </c>
      <c r="C67" s="24">
        <v>0.33</v>
      </c>
    </row>
    <row r="68" spans="1:4" ht="28.2" customHeight="1" x14ac:dyDescent="0.3">
      <c r="A68" s="42" t="s">
        <v>52</v>
      </c>
      <c r="B68" s="42"/>
      <c r="C68" s="23">
        <v>1000</v>
      </c>
      <c r="D68" t="s">
        <v>53</v>
      </c>
    </row>
    <row r="69" spans="1:4" ht="16.8" customHeight="1" x14ac:dyDescent="0.35">
      <c r="A69" s="44" t="s">
        <v>54</v>
      </c>
      <c r="B69" s="44"/>
      <c r="C69" s="23">
        <v>0.5</v>
      </c>
    </row>
    <row r="71" spans="1:4" x14ac:dyDescent="0.3">
      <c r="A71" s="11" t="s">
        <v>59</v>
      </c>
      <c r="B71" s="25"/>
    </row>
    <row r="72" spans="1:4" x14ac:dyDescent="0.3">
      <c r="B72" s="4" t="s">
        <v>55</v>
      </c>
    </row>
    <row r="74" spans="1:4" x14ac:dyDescent="0.3">
      <c r="B74" s="10" t="s">
        <v>55</v>
      </c>
      <c r="C74" s="18">
        <f>0.5*C67*C63*3.5*3.5</f>
        <v>36.382500000000007</v>
      </c>
      <c r="D74" t="s">
        <v>35</v>
      </c>
    </row>
    <row r="76" spans="1:4" x14ac:dyDescent="0.3">
      <c r="A76" s="11" t="s">
        <v>56</v>
      </c>
    </row>
    <row r="77" spans="1:4" x14ac:dyDescent="0.3">
      <c r="B77" s="4" t="s">
        <v>57</v>
      </c>
      <c r="C77" t="s">
        <v>58</v>
      </c>
    </row>
    <row r="78" spans="1:4" x14ac:dyDescent="0.3">
      <c r="C78" s="26">
        <f>C74*3.5/3</f>
        <v>42.446250000000013</v>
      </c>
      <c r="D78" t="s">
        <v>17</v>
      </c>
    </row>
    <row r="80" spans="1:4" x14ac:dyDescent="0.3">
      <c r="A80" s="1" t="s">
        <v>60</v>
      </c>
    </row>
    <row r="81" spans="1:5" x14ac:dyDescent="0.3">
      <c r="B81" t="s">
        <v>61</v>
      </c>
      <c r="C81" s="16">
        <f>C58*C57*C56*C11</f>
        <v>144</v>
      </c>
      <c r="D81" t="s">
        <v>53</v>
      </c>
    </row>
    <row r="82" spans="1:5" x14ac:dyDescent="0.3">
      <c r="B82" s="4" t="s">
        <v>63</v>
      </c>
      <c r="C82">
        <v>1.2</v>
      </c>
    </row>
    <row r="83" spans="1:5" ht="15.6" x14ac:dyDescent="0.35">
      <c r="B83" t="s">
        <v>64</v>
      </c>
      <c r="C83" s="22">
        <f>C82*C81</f>
        <v>172.79999999999998</v>
      </c>
      <c r="D83" t="s">
        <v>17</v>
      </c>
    </row>
    <row r="85" spans="1:5" x14ac:dyDescent="0.3">
      <c r="B85" s="4" t="s">
        <v>65</v>
      </c>
      <c r="C85">
        <f>C58*12*0.9</f>
        <v>25.919999999999998</v>
      </c>
    </row>
    <row r="86" spans="1:5" ht="16.2" x14ac:dyDescent="0.3">
      <c r="C86" s="28">
        <v>26</v>
      </c>
      <c r="D86" t="s">
        <v>66</v>
      </c>
    </row>
    <row r="87" spans="1:5" x14ac:dyDescent="0.3">
      <c r="B87" s="4" t="s">
        <v>67</v>
      </c>
      <c r="C87">
        <f>C86*25</f>
        <v>650</v>
      </c>
      <c r="D87" t="s">
        <v>53</v>
      </c>
    </row>
    <row r="88" spans="1:5" ht="15.6" x14ac:dyDescent="0.35">
      <c r="B88" t="s">
        <v>64</v>
      </c>
      <c r="C88" s="16">
        <f>C87*1</f>
        <v>650</v>
      </c>
      <c r="D88" t="s">
        <v>17</v>
      </c>
    </row>
    <row r="90" spans="1:5" x14ac:dyDescent="0.3">
      <c r="B90" s="10" t="s">
        <v>69</v>
      </c>
      <c r="C90" s="28">
        <f>C81+C88</f>
        <v>794</v>
      </c>
      <c r="D90" t="s">
        <v>17</v>
      </c>
    </row>
    <row r="91" spans="1:5" x14ac:dyDescent="0.3">
      <c r="B91" s="27" t="s">
        <v>68</v>
      </c>
      <c r="C91" s="29">
        <v>800</v>
      </c>
      <c r="D91" t="s">
        <v>17</v>
      </c>
    </row>
    <row r="93" spans="1:5" ht="15" thickBot="1" x14ac:dyDescent="0.35">
      <c r="A93" s="1" t="s">
        <v>70</v>
      </c>
    </row>
    <row r="94" spans="1:5" ht="15" thickBot="1" x14ac:dyDescent="0.35">
      <c r="B94" s="4" t="s">
        <v>21</v>
      </c>
      <c r="C94" s="32">
        <f>C91/C78</f>
        <v>18.847365786141289</v>
      </c>
      <c r="D94" s="6" t="s">
        <v>71</v>
      </c>
      <c r="E94" s="6">
        <v>1.5</v>
      </c>
    </row>
    <row r="97" spans="1:7" x14ac:dyDescent="0.3">
      <c r="B97" s="4" t="s">
        <v>73</v>
      </c>
      <c r="C97" s="33" t="s">
        <v>72</v>
      </c>
    </row>
    <row r="99" spans="1:7" ht="15.6" x14ac:dyDescent="0.3">
      <c r="A99" s="9" t="s">
        <v>74</v>
      </c>
    </row>
    <row r="100" spans="1:7" x14ac:dyDescent="0.3">
      <c r="A100" s="7" t="s">
        <v>1</v>
      </c>
      <c r="B100" s="8"/>
    </row>
    <row r="102" spans="1:7" x14ac:dyDescent="0.3">
      <c r="B102" s="4" t="s">
        <v>75</v>
      </c>
      <c r="C102" s="13">
        <v>5000</v>
      </c>
      <c r="D102" t="s">
        <v>53</v>
      </c>
    </row>
    <row r="103" spans="1:7" ht="16.2" x14ac:dyDescent="0.3">
      <c r="B103" s="4" t="s">
        <v>76</v>
      </c>
      <c r="C103" s="13">
        <v>250</v>
      </c>
      <c r="D103" t="s">
        <v>8</v>
      </c>
    </row>
    <row r="104" spans="1:7" x14ac:dyDescent="0.3">
      <c r="B104" s="4" t="s">
        <v>77</v>
      </c>
    </row>
    <row r="106" spans="1:7" ht="16.2" x14ac:dyDescent="0.3">
      <c r="B106" s="4" t="s">
        <v>78</v>
      </c>
      <c r="C106" s="28">
        <f>C102/C103</f>
        <v>20</v>
      </c>
      <c r="D106" t="s">
        <v>22</v>
      </c>
    </row>
    <row r="107" spans="1:7" x14ac:dyDescent="0.3">
      <c r="B107" s="4"/>
    </row>
    <row r="108" spans="1:7" ht="16.2" x14ac:dyDescent="0.3">
      <c r="B108" s="4" t="s">
        <v>79</v>
      </c>
      <c r="C108" s="34">
        <f>C58*12</f>
        <v>28.799999999999997</v>
      </c>
      <c r="D108" t="s">
        <v>22</v>
      </c>
    </row>
    <row r="110" spans="1:7" x14ac:dyDescent="0.3">
      <c r="A110" s="1" t="s">
        <v>80</v>
      </c>
    </row>
    <row r="111" spans="1:7" ht="16.2" x14ac:dyDescent="0.3">
      <c r="B111" s="4" t="s">
        <v>21</v>
      </c>
      <c r="C111" s="31">
        <f>C102/C108</f>
        <v>173.61111111111111</v>
      </c>
      <c r="D111" t="s">
        <v>8</v>
      </c>
      <c r="E111" s="6" t="s">
        <v>81</v>
      </c>
      <c r="F111" s="4">
        <v>250</v>
      </c>
      <c r="G111" t="s">
        <v>8</v>
      </c>
    </row>
    <row r="113" spans="2:6" x14ac:dyDescent="0.3">
      <c r="B113" s="4" t="s">
        <v>73</v>
      </c>
      <c r="C113" s="33" t="s">
        <v>82</v>
      </c>
    </row>
    <row r="115" spans="2:6" ht="16.2" x14ac:dyDescent="0.3">
      <c r="B115" s="4" t="s">
        <v>21</v>
      </c>
      <c r="C115" s="31">
        <f>(C102*1.5)/C108</f>
        <v>260.41666666666669</v>
      </c>
      <c r="D115" t="s">
        <v>8</v>
      </c>
      <c r="E115" s="6"/>
      <c r="F115" s="4"/>
    </row>
    <row r="117" spans="2:6" x14ac:dyDescent="0.3">
      <c r="B117" s="1" t="s">
        <v>83</v>
      </c>
    </row>
    <row r="119" spans="2:6" ht="16.2" x14ac:dyDescent="0.3">
      <c r="B119" s="4" t="s">
        <v>37</v>
      </c>
      <c r="C119" s="26">
        <f>(C115*1)/2</f>
        <v>130.20833333333334</v>
      </c>
      <c r="D119" t="s">
        <v>35</v>
      </c>
    </row>
    <row r="121" spans="2:6" ht="15.6" x14ac:dyDescent="0.35">
      <c r="B121" s="4" t="s">
        <v>38</v>
      </c>
      <c r="C121" t="s">
        <v>84</v>
      </c>
    </row>
    <row r="122" spans="2:6" x14ac:dyDescent="0.3">
      <c r="B122" s="4" t="s">
        <v>24</v>
      </c>
    </row>
    <row r="124" spans="2:6" x14ac:dyDescent="0.3">
      <c r="B124" s="4" t="s">
        <v>85</v>
      </c>
      <c r="C124" s="4" t="s">
        <v>86</v>
      </c>
    </row>
    <row r="125" spans="2:6" x14ac:dyDescent="0.3">
      <c r="B125" s="4" t="s">
        <v>85</v>
      </c>
      <c r="C125" s="36">
        <f>0.9*840</f>
        <v>756</v>
      </c>
      <c r="D125" t="s">
        <v>7</v>
      </c>
    </row>
    <row r="127" spans="2:6" ht="16.2" x14ac:dyDescent="0.3">
      <c r="B127" s="19" t="s">
        <v>24</v>
      </c>
      <c r="C127" s="30">
        <f>((C119)*1000000)/(0.87*C10*C125)</f>
        <v>395.93849459749845</v>
      </c>
      <c r="D127" t="s">
        <v>23</v>
      </c>
    </row>
    <row r="128" spans="2:6" ht="16.2" x14ac:dyDescent="0.3">
      <c r="B128" s="27" t="s">
        <v>68</v>
      </c>
      <c r="C128" s="26">
        <v>400</v>
      </c>
      <c r="D128" t="s">
        <v>23</v>
      </c>
    </row>
    <row r="129" spans="1:5" ht="9.6" customHeight="1" x14ac:dyDescent="0.3">
      <c r="B129" s="27"/>
    </row>
    <row r="130" spans="1:5" x14ac:dyDescent="0.3">
      <c r="B130" s="27" t="s">
        <v>87</v>
      </c>
      <c r="C130" s="6" t="s">
        <v>88</v>
      </c>
      <c r="D130" s="36">
        <f>(1000*113)/C128</f>
        <v>282.5</v>
      </c>
      <c r="E130" t="s">
        <v>7</v>
      </c>
    </row>
    <row r="131" spans="1:5" x14ac:dyDescent="0.3">
      <c r="B131" s="27"/>
    </row>
    <row r="132" spans="1:5" x14ac:dyDescent="0.3">
      <c r="B132" s="4" t="s">
        <v>25</v>
      </c>
      <c r="C132" s="37" t="s">
        <v>89</v>
      </c>
    </row>
    <row r="133" spans="1:5" ht="16.2" x14ac:dyDescent="0.3">
      <c r="B133" s="4" t="s">
        <v>90</v>
      </c>
      <c r="C133" s="26">
        <f>(1000/150)*113</f>
        <v>753.33333333333337</v>
      </c>
      <c r="D133" t="s">
        <v>91</v>
      </c>
    </row>
    <row r="135" spans="1:5" x14ac:dyDescent="0.3">
      <c r="B135" s="4" t="s">
        <v>73</v>
      </c>
      <c r="C135" s="33" t="s">
        <v>72</v>
      </c>
    </row>
    <row r="137" spans="1:5" ht="15.6" x14ac:dyDescent="0.3">
      <c r="A137" s="38" t="s">
        <v>92</v>
      </c>
      <c r="B137" s="38"/>
    </row>
    <row r="138" spans="1:5" x14ac:dyDescent="0.3">
      <c r="A138" s="7" t="s">
        <v>1</v>
      </c>
      <c r="B138" s="8"/>
    </row>
    <row r="140" spans="1:5" x14ac:dyDescent="0.3">
      <c r="B140" s="4" t="s">
        <v>93</v>
      </c>
      <c r="C140" s="13">
        <v>4</v>
      </c>
      <c r="D140" t="s">
        <v>12</v>
      </c>
    </row>
    <row r="141" spans="1:5" x14ac:dyDescent="0.3">
      <c r="B141" s="4" t="s">
        <v>44</v>
      </c>
      <c r="C141" s="13">
        <v>0.6</v>
      </c>
      <c r="D141" t="s">
        <v>12</v>
      </c>
    </row>
    <row r="142" spans="1:5" ht="16.2" x14ac:dyDescent="0.3">
      <c r="B142" s="4" t="s">
        <v>94</v>
      </c>
      <c r="C142" s="13">
        <v>500</v>
      </c>
      <c r="D142" t="s">
        <v>20</v>
      </c>
    </row>
    <row r="143" spans="1:5" ht="16.2" x14ac:dyDescent="0.3">
      <c r="B143" s="4" t="s">
        <v>95</v>
      </c>
      <c r="C143" s="13">
        <v>25</v>
      </c>
      <c r="D143" t="s">
        <v>20</v>
      </c>
    </row>
    <row r="144" spans="1:5" ht="16.2" x14ac:dyDescent="0.3">
      <c r="B144" s="4" t="s">
        <v>96</v>
      </c>
      <c r="C144" s="13">
        <v>18</v>
      </c>
      <c r="D144" t="s">
        <v>8</v>
      </c>
    </row>
    <row r="145" spans="1:4" ht="15.6" x14ac:dyDescent="0.35">
      <c r="B145" s="4" t="s">
        <v>51</v>
      </c>
      <c r="C145" s="24">
        <v>0.33</v>
      </c>
    </row>
    <row r="146" spans="1:4" ht="18" x14ac:dyDescent="0.35">
      <c r="B146" s="4" t="s">
        <v>49</v>
      </c>
      <c r="C146" s="24" t="s">
        <v>50</v>
      </c>
    </row>
    <row r="147" spans="1:4" x14ac:dyDescent="0.3">
      <c r="B147" s="4" t="s">
        <v>98</v>
      </c>
      <c r="C147" s="13">
        <v>50</v>
      </c>
      <c r="D147" t="s">
        <v>7</v>
      </c>
    </row>
    <row r="148" spans="1:4" x14ac:dyDescent="0.3">
      <c r="B148" s="10" t="s">
        <v>55</v>
      </c>
      <c r="C148" s="39">
        <v>38.4</v>
      </c>
      <c r="D148" t="s">
        <v>35</v>
      </c>
    </row>
    <row r="149" spans="1:4" x14ac:dyDescent="0.3">
      <c r="A149" t="s">
        <v>99</v>
      </c>
    </row>
    <row r="150" spans="1:4" ht="15.6" x14ac:dyDescent="0.35">
      <c r="B150" s="4" t="s">
        <v>100</v>
      </c>
    </row>
    <row r="152" spans="1:4" ht="15.6" x14ac:dyDescent="0.35">
      <c r="B152" s="4" t="s">
        <v>100</v>
      </c>
      <c r="C152" s="26">
        <f>(C145*C144*(3.5*3.5*3.5))/6</f>
        <v>42.446249999999999</v>
      </c>
      <c r="D152" t="s">
        <v>35</v>
      </c>
    </row>
    <row r="154" spans="1:4" x14ac:dyDescent="0.3">
      <c r="B154" t="s">
        <v>101</v>
      </c>
    </row>
    <row r="155" spans="1:4" x14ac:dyDescent="0.3">
      <c r="B155" s="4" t="s">
        <v>102</v>
      </c>
      <c r="C155" s="13">
        <v>50</v>
      </c>
      <c r="D155" t="s">
        <v>7</v>
      </c>
    </row>
    <row r="156" spans="1:4" x14ac:dyDescent="0.3">
      <c r="B156" s="4" t="s">
        <v>103</v>
      </c>
      <c r="C156" s="13">
        <v>16</v>
      </c>
      <c r="D156" t="s">
        <v>7</v>
      </c>
    </row>
    <row r="158" spans="1:4" ht="21" x14ac:dyDescent="0.45">
      <c r="B158" s="4" t="s">
        <v>104</v>
      </c>
      <c r="C158" t="s">
        <v>105</v>
      </c>
    </row>
    <row r="159" spans="1:4" x14ac:dyDescent="0.3">
      <c r="B159" s="19" t="s">
        <v>104</v>
      </c>
      <c r="C159" s="40">
        <f>600-C155-C156/2</f>
        <v>542</v>
      </c>
      <c r="D159" t="s">
        <v>7</v>
      </c>
    </row>
    <row r="161" spans="2:4" ht="16.2" x14ac:dyDescent="0.3">
      <c r="B161" s="4" t="s">
        <v>106</v>
      </c>
      <c r="C161" t="s">
        <v>107</v>
      </c>
    </row>
    <row r="162" spans="2:4" x14ac:dyDescent="0.3">
      <c r="B162" s="4" t="s">
        <v>85</v>
      </c>
      <c r="C162" s="28">
        <f>0.9*C159</f>
        <v>487.8</v>
      </c>
    </row>
    <row r="163" spans="2:4" x14ac:dyDescent="0.3">
      <c r="B163" s="41" t="s">
        <v>108</v>
      </c>
      <c r="C163" s="35">
        <v>488</v>
      </c>
      <c r="D163" t="s">
        <v>7</v>
      </c>
    </row>
    <row r="164" spans="2:4" x14ac:dyDescent="0.3">
      <c r="B164" s="4" t="s">
        <v>24</v>
      </c>
    </row>
    <row r="166" spans="2:4" ht="16.2" x14ac:dyDescent="0.3">
      <c r="B166" s="19" t="s">
        <v>24</v>
      </c>
      <c r="C166" s="26">
        <f>(40.6*1000000)/(0.87*C142*C163)</f>
        <v>191.2568306010929</v>
      </c>
      <c r="D166" t="s">
        <v>23</v>
      </c>
    </row>
    <row r="168" spans="2:4" x14ac:dyDescent="0.3">
      <c r="B168" s="4" t="s">
        <v>88</v>
      </c>
      <c r="C168" s="36">
        <f>(1000*201)/C166</f>
        <v>1050.9428571428571</v>
      </c>
      <c r="D168" t="s">
        <v>7</v>
      </c>
    </row>
    <row r="169" spans="2:4" x14ac:dyDescent="0.3">
      <c r="B169" s="27"/>
    </row>
    <row r="170" spans="2:4" x14ac:dyDescent="0.3">
      <c r="B170" s="4" t="s">
        <v>25</v>
      </c>
      <c r="C170" s="20" t="s">
        <v>109</v>
      </c>
    </row>
    <row r="171" spans="2:4" ht="16.2" x14ac:dyDescent="0.3">
      <c r="B171" s="4" t="s">
        <v>90</v>
      </c>
      <c r="C171" s="26">
        <f>(1000/150)*201</f>
        <v>1340</v>
      </c>
      <c r="D171" t="s">
        <v>23</v>
      </c>
    </row>
    <row r="173" spans="2:4" x14ac:dyDescent="0.3">
      <c r="B173" s="4" t="s">
        <v>73</v>
      </c>
      <c r="C173" s="33" t="s">
        <v>72</v>
      </c>
    </row>
  </sheetData>
  <mergeCells count="4">
    <mergeCell ref="A9:B9"/>
    <mergeCell ref="A31:B31"/>
    <mergeCell ref="A68:B68"/>
    <mergeCell ref="A69:B69"/>
  </mergeCells>
  <phoneticPr fontId="12" type="noConversion"/>
  <hyperlinks>
    <hyperlink ref="C29" r:id="rId1" xr:uid="{2B9F458B-2DA0-4757-8457-B750018A64CC}"/>
    <hyperlink ref="C28" r:id="rId2" xr:uid="{6802D0EB-D005-4275-8CB9-6BA6319CAC63}"/>
    <hyperlink ref="C132" r:id="rId3" xr:uid="{DEE754A0-10EE-41FE-8015-81D37C34F4AE}"/>
    <hyperlink ref="C170" r:id="rId4" xr:uid="{9EB65F56-5193-4D9C-BD9C-EB57462B7AD7}"/>
  </hyperlinks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RUBADHARSINI</dc:creator>
  <cp:lastModifiedBy>SOPHIA RUBADHARSINI</cp:lastModifiedBy>
  <cp:lastPrinted>2025-08-16T07:04:16Z</cp:lastPrinted>
  <dcterms:created xsi:type="dcterms:W3CDTF">2025-07-23T14:32:21Z</dcterms:created>
  <dcterms:modified xsi:type="dcterms:W3CDTF">2025-08-16T07:04:21Z</dcterms:modified>
</cp:coreProperties>
</file>